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yectos\Tabla mundial\"/>
    </mc:Choice>
  </mc:AlternateContent>
  <xr:revisionPtr revIDLastSave="0" documentId="13_ncr:1_{3B2251C9-1D23-4B21-8524-05E0C23E2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X15" i="1" l="1"/>
  <c r="BY15" i="1"/>
  <c r="BX2" i="1"/>
  <c r="BX3" i="1"/>
  <c r="BX4" i="1"/>
  <c r="BX5" i="1"/>
  <c r="BX6" i="1"/>
  <c r="BX7" i="1"/>
  <c r="BX8" i="1"/>
  <c r="BX9" i="1"/>
  <c r="BX10" i="1"/>
  <c r="BX11" i="1"/>
  <c r="BX12" i="1"/>
  <c r="BX13" i="1"/>
  <c r="BX14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</calcChain>
</file>

<file path=xl/sharedStrings.xml><?xml version="1.0" encoding="utf-8"?>
<sst xmlns="http://schemas.openxmlformats.org/spreadsheetml/2006/main" count="1125" uniqueCount="144">
  <si>
    <t>Marca temporal</t>
  </si>
  <si>
    <t>Dirección de correo electrónico</t>
  </si>
  <si>
    <t>Aquí ponga su nombre y apellido</t>
  </si>
  <si>
    <t>Fecha 1:
México-Sudáfrica</t>
  </si>
  <si>
    <t>Corea del Sur - República Checa</t>
  </si>
  <si>
    <t>Fecha 2:
República Checa - Sudáfrica</t>
  </si>
  <si>
    <t>México - Corea del Sur</t>
  </si>
  <si>
    <t>Fecha 3:
Sudáfrica - Corea del Sur</t>
  </si>
  <si>
    <t>República Checa - Mexico</t>
  </si>
  <si>
    <t>Fecha 1:
Canadá - Bosnia y Herzegovina</t>
  </si>
  <si>
    <t>Qatar - Suiza</t>
  </si>
  <si>
    <t>Fecha 2:
Suiza - Bosnia y Herzegovina</t>
  </si>
  <si>
    <t>Canadá - Qatar</t>
  </si>
  <si>
    <t>Fecha 3:
Suiza - Canadá</t>
  </si>
  <si>
    <t>Bosnia y Herzegovina - Qatar</t>
  </si>
  <si>
    <t>Fecha 1:
Brasil - Marruecos</t>
  </si>
  <si>
    <t>Haití - Escocia</t>
  </si>
  <si>
    <t>Fecha 2:
Escocia - Marruecos</t>
  </si>
  <si>
    <t>Brasil - Haití</t>
  </si>
  <si>
    <t>Fecha 3:
Escocia - Brasil</t>
  </si>
  <si>
    <t>Marruecos - Haití</t>
  </si>
  <si>
    <t>Fecha 1:
Estados Unidos - Paraguay</t>
  </si>
  <si>
    <t>Australia - Turquía</t>
  </si>
  <si>
    <t>Fecha 2:
Estados Unidos - Australia</t>
  </si>
  <si>
    <t>Turquía - Paraguay</t>
  </si>
  <si>
    <t>Fecha 3:
Turquía - Estados Unidos</t>
  </si>
  <si>
    <t>Paraguay - Australia</t>
  </si>
  <si>
    <t>Fecha 1:
Alemania - Curazao</t>
  </si>
  <si>
    <t>Costa de Marfil - Ecuador</t>
  </si>
  <si>
    <t>Fecha 2:
Alemania - Costa de Marfil</t>
  </si>
  <si>
    <t>Ecuador - Curazao</t>
  </si>
  <si>
    <t>Fecha 3:
Curazao - Costa de Marfil</t>
  </si>
  <si>
    <t>Ecuador  - Alemania</t>
  </si>
  <si>
    <t>Fecha 1:
Países Bajos - Japón</t>
  </si>
  <si>
    <t>Suecia - Túnez</t>
  </si>
  <si>
    <t>Fecha 2:
Países Bajos - Suecia</t>
  </si>
  <si>
    <t>Túnez - Japón</t>
  </si>
  <si>
    <t>Fecha 3:
Japón - Suecia</t>
  </si>
  <si>
    <t>Túnez - Países Bajos</t>
  </si>
  <si>
    <t>Fecha 1:
Bélgica - Egipto</t>
  </si>
  <si>
    <t>Irán - Nueva Zelanda</t>
  </si>
  <si>
    <t>Fecha 2:
Bélgica - Irán</t>
  </si>
  <si>
    <t>Nueva Zelanda - Egipto</t>
  </si>
  <si>
    <t>Fecha 3:
Egipto - Irán</t>
  </si>
  <si>
    <t>Nueva Zelanda - Bélgica</t>
  </si>
  <si>
    <t>Fecha 1:
España - Cabo Verde</t>
  </si>
  <si>
    <t>Arabia Saudita - Uruguay</t>
  </si>
  <si>
    <t>Fecha 2:
España - Arabia Saudita</t>
  </si>
  <si>
    <t>Uruguay - Cabo Verde</t>
  </si>
  <si>
    <t>Fecha 3:
Cabo Verde - Arabia Saudita</t>
  </si>
  <si>
    <t>Uruguay - España</t>
  </si>
  <si>
    <t>Fecha 1:
Francia - Senegal</t>
  </si>
  <si>
    <t>Irak - Noruega</t>
  </si>
  <si>
    <t>Fecha 2:
Francia - Irak</t>
  </si>
  <si>
    <t>Noruega - Senegal</t>
  </si>
  <si>
    <t>Fecha 3:
Noruega - Francia</t>
  </si>
  <si>
    <t>Senegal - Irak</t>
  </si>
  <si>
    <t>Fecha 1:
Argentina - Argelia</t>
  </si>
  <si>
    <t>Austria - Jordania</t>
  </si>
  <si>
    <t>Fecha 2:
Argentina - Austria</t>
  </si>
  <si>
    <t>Jordania - Argelia</t>
  </si>
  <si>
    <t>Fecha 3:
Argelia - Austria</t>
  </si>
  <si>
    <t>Jordania - Argentina</t>
  </si>
  <si>
    <t>Fecha 1:
Portugal - RD Congo</t>
  </si>
  <si>
    <t>Uzbekistán - Colombia</t>
  </si>
  <si>
    <t>Fecha 2:
Portugal - Uzbekistán</t>
  </si>
  <si>
    <t>Colombia - RD Congo</t>
  </si>
  <si>
    <t>Fecha 3:
Colombia - Portugal</t>
  </si>
  <si>
    <t>RD Congo - Uzbekistán</t>
  </si>
  <si>
    <t>Fecha 1:
Inglaterra - Croacia</t>
  </si>
  <si>
    <t>Ghana - Panamá</t>
  </si>
  <si>
    <t>Fecha 2:
Inglaterra - Ghana</t>
  </si>
  <si>
    <t>Panamá - Croacia</t>
  </si>
  <si>
    <t>Fecha 3:
Panamá - Inglaterra</t>
  </si>
  <si>
    <t>Croacia - Ghana</t>
  </si>
  <si>
    <t>gabrielalopez.gfl@gmail.com</t>
  </si>
  <si>
    <t>Empate</t>
  </si>
  <si>
    <t>México</t>
  </si>
  <si>
    <t>Brasil</t>
  </si>
  <si>
    <t>Paraguay</t>
  </si>
  <si>
    <t>Alemania</t>
  </si>
  <si>
    <t>Ecuador</t>
  </si>
  <si>
    <t>Países Bajos</t>
  </si>
  <si>
    <t>Bélgica</t>
  </si>
  <si>
    <t>Uruguay</t>
  </si>
  <si>
    <t>Francia</t>
  </si>
  <si>
    <t>Senegal</t>
  </si>
  <si>
    <t>Argentina</t>
  </si>
  <si>
    <t>Portugal</t>
  </si>
  <si>
    <t>Colombia</t>
  </si>
  <si>
    <t>Inglaterra</t>
  </si>
  <si>
    <t>Panamá</t>
  </si>
  <si>
    <t>Corea del Sur</t>
  </si>
  <si>
    <t>República Checa</t>
  </si>
  <si>
    <t>Sudáfrica</t>
  </si>
  <si>
    <t>Canadá</t>
  </si>
  <si>
    <t>Suiza</t>
  </si>
  <si>
    <t>Qatar</t>
  </si>
  <si>
    <t>Marruecos</t>
  </si>
  <si>
    <t>Escocia</t>
  </si>
  <si>
    <t>Australia</t>
  </si>
  <si>
    <t>Estados Unidos</t>
  </si>
  <si>
    <t>Costa de Marfil</t>
  </si>
  <si>
    <t>Suecia</t>
  </si>
  <si>
    <t>Japón</t>
  </si>
  <si>
    <t>Irán</t>
  </si>
  <si>
    <t>Egipto</t>
  </si>
  <si>
    <t>España</t>
  </si>
  <si>
    <t>Arabia Saudita</t>
  </si>
  <si>
    <t>Noruega</t>
  </si>
  <si>
    <t>Austria</t>
  </si>
  <si>
    <t>Argelia</t>
  </si>
  <si>
    <t>Uzbekistán</t>
  </si>
  <si>
    <t>Ghana</t>
  </si>
  <si>
    <t>Croacia</t>
  </si>
  <si>
    <t>Mexico</t>
  </si>
  <si>
    <t>Turquía</t>
  </si>
  <si>
    <t>Irak</t>
  </si>
  <si>
    <t>Bosnia y Herzegovina</t>
  </si>
  <si>
    <t>Japon</t>
  </si>
  <si>
    <t>Cabo Verde</t>
  </si>
  <si>
    <t>cirobenjaminlopez2009@gmail.com</t>
  </si>
  <si>
    <t>Nueva Zelanda</t>
  </si>
  <si>
    <t>cocorossi80@gmail.com</t>
  </si>
  <si>
    <t>RD Congo</t>
  </si>
  <si>
    <t>Túnez</t>
  </si>
  <si>
    <t>luchodela121998@gmail.com</t>
  </si>
  <si>
    <t>Respuestas</t>
  </si>
  <si>
    <t>Puntos</t>
  </si>
  <si>
    <t>Jugador</t>
  </si>
  <si>
    <t>Pablo</t>
  </si>
  <si>
    <t xml:space="preserve">Gianna </t>
  </si>
  <si>
    <t xml:space="preserve">Justino  </t>
  </si>
  <si>
    <t xml:space="preserve">Adrián  </t>
  </si>
  <si>
    <t xml:space="preserve">Tomas  </t>
  </si>
  <si>
    <t xml:space="preserve">Tito  </t>
  </si>
  <si>
    <t xml:space="preserve">Pamela  </t>
  </si>
  <si>
    <t xml:space="preserve">Ciro </t>
  </si>
  <si>
    <t>Coco</t>
  </si>
  <si>
    <t>Dante</t>
  </si>
  <si>
    <t>Hernan</t>
  </si>
  <si>
    <t xml:space="preserve">Luciano  </t>
  </si>
  <si>
    <t xml:space="preserve">Gabriela  </t>
  </si>
  <si>
    <t xml:space="preserve">Ernesto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</si>
</sst>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/>
    </xf>
    <xf numFmtId="22" fontId="0" fillId="0" borderId="0" xfId="0" applyNumberFormat="1" applyFont="1" applyAlignment="1"/>
    <xf numFmtId="0" fontId="0" fillId="2" borderId="0" xfId="0" applyNumberFormat="1" applyFont="1" applyFill="1" applyAlignment="1">
      <alignment horizontal="center"/>
    </xf>
    <xf numFmtId="0" fontId="0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1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Y16">
  <tableColumns count="77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Aquí ponga su nombre y apellido"/>
    <tableColumn id="4" xr3:uid="{00000000-0010-0000-0000-000004000000}" name="Fecha 1:_x000a_México-Sudáfrica"/>
    <tableColumn id="5" xr3:uid="{00000000-0010-0000-0000-000005000000}" name="Corea del Sur - República Checa"/>
    <tableColumn id="6" xr3:uid="{00000000-0010-0000-0000-000006000000}" name="Fecha 2:_x000a_República Checa - Sudáfrica"/>
    <tableColumn id="7" xr3:uid="{00000000-0010-0000-0000-000007000000}" name="México - Corea del Sur"/>
    <tableColumn id="8" xr3:uid="{00000000-0010-0000-0000-000008000000}" name="Fecha 3:_x000a_Sudáfrica - Corea del Sur"/>
    <tableColumn id="9" xr3:uid="{00000000-0010-0000-0000-000009000000}" name="República Checa - Mexico"/>
    <tableColumn id="10" xr3:uid="{00000000-0010-0000-0000-00000A000000}" name="Fecha 1:_x000a_Canadá - Bosnia y Herzegovina"/>
    <tableColumn id="11" xr3:uid="{00000000-0010-0000-0000-00000B000000}" name="Qatar - Suiza"/>
    <tableColumn id="12" xr3:uid="{00000000-0010-0000-0000-00000C000000}" name="Fecha 2:_x000a_Suiza - Bosnia y Herzegovina"/>
    <tableColumn id="13" xr3:uid="{00000000-0010-0000-0000-00000D000000}" name="Canadá - Qatar"/>
    <tableColumn id="14" xr3:uid="{00000000-0010-0000-0000-00000E000000}" name="Fecha 3:_x000a_Suiza - Canadá"/>
    <tableColumn id="15" xr3:uid="{00000000-0010-0000-0000-00000F000000}" name="Bosnia y Herzegovina - Qatar"/>
    <tableColumn id="16" xr3:uid="{00000000-0010-0000-0000-000010000000}" name="Fecha 1:_x000a_Brasil - Marruecos"/>
    <tableColumn id="17" xr3:uid="{00000000-0010-0000-0000-000011000000}" name="Haití - Escocia"/>
    <tableColumn id="18" xr3:uid="{00000000-0010-0000-0000-000012000000}" name="Fecha 2:_x000a_Escocia - Marruecos"/>
    <tableColumn id="19" xr3:uid="{00000000-0010-0000-0000-000013000000}" name="Brasil - Haití"/>
    <tableColumn id="20" xr3:uid="{00000000-0010-0000-0000-000014000000}" name="Fecha 3:_x000a_Escocia - Brasil"/>
    <tableColumn id="21" xr3:uid="{00000000-0010-0000-0000-000015000000}" name="Marruecos - Haití"/>
    <tableColumn id="22" xr3:uid="{00000000-0010-0000-0000-000016000000}" name="Fecha 1:_x000a_Estados Unidos - Paraguay"/>
    <tableColumn id="23" xr3:uid="{00000000-0010-0000-0000-000017000000}" name="Australia - Turquía"/>
    <tableColumn id="24" xr3:uid="{00000000-0010-0000-0000-000018000000}" name="Fecha 2:_x000a_Estados Unidos - Australia"/>
    <tableColumn id="25" xr3:uid="{00000000-0010-0000-0000-000019000000}" name="Turquía - Paraguay"/>
    <tableColumn id="26" xr3:uid="{00000000-0010-0000-0000-00001A000000}" name="Fecha 3:_x000a_Turquía - Estados Unidos"/>
    <tableColumn id="27" xr3:uid="{00000000-0010-0000-0000-00001B000000}" name="Paraguay - Australia"/>
    <tableColumn id="28" xr3:uid="{00000000-0010-0000-0000-00001C000000}" name="Fecha 1:_x000a_Alemania - Curazao"/>
    <tableColumn id="29" xr3:uid="{00000000-0010-0000-0000-00001D000000}" name="Costa de Marfil - Ecuador"/>
    <tableColumn id="30" xr3:uid="{00000000-0010-0000-0000-00001E000000}" name="Fecha 2:_x000a_Alemania - Costa de Marfil"/>
    <tableColumn id="31" xr3:uid="{00000000-0010-0000-0000-00001F000000}" name="Ecuador - Curazao"/>
    <tableColumn id="32" xr3:uid="{00000000-0010-0000-0000-000020000000}" name="Fecha 3:_x000a_Curazao - Costa de Marfil"/>
    <tableColumn id="33" xr3:uid="{00000000-0010-0000-0000-000021000000}" name="Ecuador  - Alemania"/>
    <tableColumn id="34" xr3:uid="{00000000-0010-0000-0000-000022000000}" name="Fecha 1:_x000a_Países Bajos - Japón"/>
    <tableColumn id="35" xr3:uid="{00000000-0010-0000-0000-000023000000}" name="Suecia - Túnez"/>
    <tableColumn id="36" xr3:uid="{00000000-0010-0000-0000-000024000000}" name="Fecha 2:_x000a_Países Bajos - Suecia"/>
    <tableColumn id="37" xr3:uid="{00000000-0010-0000-0000-000025000000}" name="Túnez - Japón"/>
    <tableColumn id="38" xr3:uid="{00000000-0010-0000-0000-000026000000}" name="Fecha 3:_x000a_Japón - Suecia"/>
    <tableColumn id="39" xr3:uid="{00000000-0010-0000-0000-000027000000}" name="Túnez - Países Bajos"/>
    <tableColumn id="40" xr3:uid="{00000000-0010-0000-0000-000028000000}" name="Fecha 1:_x000a_Bélgica - Egipto"/>
    <tableColumn id="41" xr3:uid="{00000000-0010-0000-0000-000029000000}" name="Irán - Nueva Zelanda"/>
    <tableColumn id="42" xr3:uid="{00000000-0010-0000-0000-00002A000000}" name="Fecha 2:_x000a_Bélgica - Irán"/>
    <tableColumn id="43" xr3:uid="{00000000-0010-0000-0000-00002B000000}" name="Nueva Zelanda - Egipto"/>
    <tableColumn id="44" xr3:uid="{00000000-0010-0000-0000-00002C000000}" name="Fecha 3:_x000a_Egipto - Irán"/>
    <tableColumn id="45" xr3:uid="{00000000-0010-0000-0000-00002D000000}" name="Nueva Zelanda - Bélgica"/>
    <tableColumn id="46" xr3:uid="{00000000-0010-0000-0000-00002E000000}" name="Fecha 1:_x000a_España - Cabo Verde"/>
    <tableColumn id="47" xr3:uid="{00000000-0010-0000-0000-00002F000000}" name="Arabia Saudita - Uruguay"/>
    <tableColumn id="48" xr3:uid="{00000000-0010-0000-0000-000030000000}" name="Fecha 2:_x000a_España - Arabia Saudita"/>
    <tableColumn id="49" xr3:uid="{00000000-0010-0000-0000-000031000000}" name="Uruguay - Cabo Verde"/>
    <tableColumn id="50" xr3:uid="{00000000-0010-0000-0000-000032000000}" name="Fecha 3:_x000a_Cabo Verde - Arabia Saudita"/>
    <tableColumn id="51" xr3:uid="{00000000-0010-0000-0000-000033000000}" name="Uruguay - España"/>
    <tableColumn id="52" xr3:uid="{00000000-0010-0000-0000-000034000000}" name="Fecha 1:_x000a_Francia - Senegal"/>
    <tableColumn id="53" xr3:uid="{00000000-0010-0000-0000-000035000000}" name="Irak - Noruega"/>
    <tableColumn id="54" xr3:uid="{00000000-0010-0000-0000-000036000000}" name="Fecha 2:_x000a_Francia - Irak"/>
    <tableColumn id="55" xr3:uid="{00000000-0010-0000-0000-000037000000}" name="Noruega - Senegal"/>
    <tableColumn id="56" xr3:uid="{00000000-0010-0000-0000-000038000000}" name="Fecha 3:_x000a_Noruega - Francia"/>
    <tableColumn id="57" xr3:uid="{00000000-0010-0000-0000-000039000000}" name="Senegal - Irak"/>
    <tableColumn id="58" xr3:uid="{00000000-0010-0000-0000-00003A000000}" name="Fecha 1:_x000a_Argentina - Argelia"/>
    <tableColumn id="59" xr3:uid="{00000000-0010-0000-0000-00003B000000}" name="Austria - Jordania"/>
    <tableColumn id="60" xr3:uid="{00000000-0010-0000-0000-00003C000000}" name="Fecha 2:_x000a_Argentina - Austria"/>
    <tableColumn id="61" xr3:uid="{00000000-0010-0000-0000-00003D000000}" name="Jordania - Argelia"/>
    <tableColumn id="62" xr3:uid="{00000000-0010-0000-0000-00003E000000}" name="Fecha 3:_x000a_Argelia - Austria"/>
    <tableColumn id="63" xr3:uid="{00000000-0010-0000-0000-00003F000000}" name="Jordania - Argentina"/>
    <tableColumn id="64" xr3:uid="{00000000-0010-0000-0000-000040000000}" name="Fecha 1:_x000a_Portugal - RD Congo"/>
    <tableColumn id="65" xr3:uid="{00000000-0010-0000-0000-000041000000}" name="Uzbekistán - Colombia"/>
    <tableColumn id="66" xr3:uid="{00000000-0010-0000-0000-000042000000}" name="Fecha 2:_x000a_Portugal - Uzbekistán"/>
    <tableColumn id="67" xr3:uid="{00000000-0010-0000-0000-000043000000}" name="Colombia - RD Congo"/>
    <tableColumn id="68" xr3:uid="{00000000-0010-0000-0000-000044000000}" name="Fecha 3:_x000a_Colombia - Portugal"/>
    <tableColumn id="69" xr3:uid="{00000000-0010-0000-0000-000045000000}" name="RD Congo - Uzbekistán"/>
    <tableColumn id="70" xr3:uid="{00000000-0010-0000-0000-000046000000}" name="Fecha 1:_x000a_Inglaterra - Croacia"/>
    <tableColumn id="71" xr3:uid="{00000000-0010-0000-0000-000047000000}" name="Ghana - Panamá"/>
    <tableColumn id="72" xr3:uid="{00000000-0010-0000-0000-000048000000}" name="Fecha 2:_x000a_Inglaterra - Ghana"/>
    <tableColumn id="73" xr3:uid="{00000000-0010-0000-0000-000049000000}" name="Panamá - Croacia"/>
    <tableColumn id="74" xr3:uid="{00000000-0010-0000-0000-00004A000000}" name="Fecha 3:_x000a_Panamá - Inglaterra"/>
    <tableColumn id="75" xr3:uid="{00000000-0010-0000-0000-00004B000000}" name="Croacia - Ghana"/>
    <tableColumn id="76" xr3:uid="{D19EB80B-3773-43EA-9F95-F2BFBDC333FB}" name="Puntos" dataDxfId="13">
      <calculatedColumnFormula>SUMPRODUCT((D2:BW2=D$18:BW$18)*(D$18:BW$18&lt;&gt;""))</calculatedColumnFormula>
    </tableColumn>
    <tableColumn id="77" xr3:uid="{9872D8D3-B721-41DE-B43B-93F0D60E93F5}" name="Jugador" dataDxfId="12">
      <calculatedColumnFormula>Form_Responses[[#This Row],[Aquí ponga su nombre y apellido]]</calculatedColumnFormula>
    </tableColumn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18"/>
  <sheetViews>
    <sheetView tabSelected="1" zoomScale="130" zoomScaleNormal="130" workbookViewId="0">
      <pane ySplit="1" topLeftCell="A2" activePane="bottomLeft" state="frozen"/>
      <selection pane="bottomLeft" activeCell="AI2" sqref="AI2:AI15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3" width="29" customWidth="1"/>
    <col min="4" max="4" width="18.85546875" customWidth="1"/>
    <col min="5" max="5" width="28.42578125" customWidth="1"/>
    <col min="6" max="6" width="25.5703125" customWidth="1"/>
    <col min="7" max="7" width="21.5703125" customWidth="1"/>
    <col min="8" max="8" width="23.28515625" customWidth="1"/>
    <col min="9" max="9" width="24" customWidth="1"/>
    <col min="10" max="10" width="27.7109375" customWidth="1"/>
    <col min="11" max="11" width="18.85546875" customWidth="1"/>
    <col min="12" max="12" width="26.140625" customWidth="1"/>
    <col min="13" max="14" width="18.85546875" customWidth="1"/>
    <col min="15" max="15" width="26.28515625" customWidth="1"/>
    <col min="16" max="17" width="18.85546875" customWidth="1"/>
    <col min="18" max="18" width="20.140625" customWidth="1"/>
    <col min="19" max="21" width="18.85546875" customWidth="1"/>
    <col min="22" max="22" width="24.7109375" customWidth="1"/>
    <col min="23" max="23" width="18.85546875" customWidth="1"/>
    <col min="24" max="24" width="24.42578125" customWidth="1"/>
    <col min="25" max="25" width="18.85546875" customWidth="1"/>
    <col min="26" max="26" width="23.42578125" customWidth="1"/>
    <col min="27" max="27" width="19.85546875" customWidth="1"/>
    <col min="28" max="28" width="19.42578125" customWidth="1"/>
    <col min="29" max="29" width="23.5703125" customWidth="1"/>
    <col min="30" max="30" width="24.42578125" customWidth="1"/>
    <col min="31" max="31" width="18.85546875" customWidth="1"/>
    <col min="32" max="32" width="23.7109375" customWidth="1"/>
    <col min="33" max="33" width="19.85546875" customWidth="1"/>
    <col min="34" max="34" width="20.42578125" customWidth="1"/>
    <col min="35" max="35" width="18.85546875" customWidth="1"/>
    <col min="36" max="36" width="20.85546875" customWidth="1"/>
    <col min="37" max="38" width="18.85546875" customWidth="1"/>
    <col min="39" max="39" width="20.42578125" customWidth="1"/>
    <col min="40" max="40" width="18.85546875" customWidth="1"/>
    <col min="41" max="41" width="20.28515625" customWidth="1"/>
    <col min="42" max="42" width="18.85546875" customWidth="1"/>
    <col min="43" max="43" width="22" customWidth="1"/>
    <col min="44" max="44" width="18.85546875" customWidth="1"/>
    <col min="45" max="45" width="22.7109375" customWidth="1"/>
    <col min="46" max="46" width="20.42578125" customWidth="1"/>
    <col min="47" max="47" width="23.140625" customWidth="1"/>
    <col min="48" max="48" width="22.42578125" customWidth="1"/>
    <col min="49" max="49" width="21" customWidth="1"/>
    <col min="50" max="50" width="25.5703125" customWidth="1"/>
    <col min="51" max="62" width="18.85546875" customWidth="1"/>
    <col min="63" max="64" width="20" customWidth="1"/>
    <col min="65" max="65" width="21.5703125" customWidth="1"/>
    <col min="66" max="66" width="20.85546875" customWidth="1"/>
    <col min="67" max="67" width="20.7109375" customWidth="1"/>
    <col min="68" max="68" width="19.7109375" customWidth="1"/>
    <col min="69" max="69" width="21.85546875" customWidth="1"/>
    <col min="70" max="70" width="19.140625" customWidth="1"/>
    <col min="71" max="73" width="18.85546875" customWidth="1"/>
    <col min="74" max="74" width="19.42578125" customWidth="1"/>
    <col min="75" max="81" width="18.85546875" customWidth="1"/>
  </cols>
  <sheetData>
    <row r="1" spans="1:7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4" t="s">
        <v>128</v>
      </c>
      <c r="BY1" s="4" t="s">
        <v>129</v>
      </c>
    </row>
    <row r="2" spans="1:77" ht="22.5" customHeight="1" x14ac:dyDescent="0.2">
      <c r="A2" s="2">
        <v>46182.655964675927</v>
      </c>
      <c r="B2" s="3" t="s">
        <v>75</v>
      </c>
      <c r="C2" s="3" t="s">
        <v>131</v>
      </c>
      <c r="D2" s="3" t="s">
        <v>76</v>
      </c>
      <c r="E2" s="3" t="s">
        <v>76</v>
      </c>
      <c r="F2" s="3" t="s">
        <v>76</v>
      </c>
      <c r="G2" s="3" t="s">
        <v>77</v>
      </c>
      <c r="H2" s="3" t="s">
        <v>76</v>
      </c>
      <c r="I2" s="3" t="s">
        <v>76</v>
      </c>
      <c r="J2" s="3" t="s">
        <v>76</v>
      </c>
      <c r="K2" s="3" t="s">
        <v>76</v>
      </c>
      <c r="L2" s="3" t="s">
        <v>76</v>
      </c>
      <c r="M2" s="3" t="s">
        <v>76</v>
      </c>
      <c r="N2" s="3" t="s">
        <v>76</v>
      </c>
      <c r="O2" s="3" t="s">
        <v>76</v>
      </c>
      <c r="P2" s="3" t="s">
        <v>78</v>
      </c>
      <c r="Q2" s="3" t="s">
        <v>76</v>
      </c>
      <c r="R2" s="3" t="s">
        <v>76</v>
      </c>
      <c r="S2" s="3" t="s">
        <v>78</v>
      </c>
      <c r="T2" s="3" t="s">
        <v>76</v>
      </c>
      <c r="U2" s="3" t="s">
        <v>76</v>
      </c>
      <c r="V2" s="3" t="s">
        <v>79</v>
      </c>
      <c r="W2" s="3" t="s">
        <v>76</v>
      </c>
      <c r="X2" s="3" t="s">
        <v>76</v>
      </c>
      <c r="Y2" s="3" t="s">
        <v>79</v>
      </c>
      <c r="Z2" s="3" t="s">
        <v>76</v>
      </c>
      <c r="AA2" s="3" t="s">
        <v>76</v>
      </c>
      <c r="AB2" s="3" t="s">
        <v>80</v>
      </c>
      <c r="AC2" s="3" t="s">
        <v>76</v>
      </c>
      <c r="AD2" s="3" t="s">
        <v>80</v>
      </c>
      <c r="AE2" s="3" t="s">
        <v>81</v>
      </c>
      <c r="AF2" s="3" t="s">
        <v>76</v>
      </c>
      <c r="AG2" s="3" t="s">
        <v>76</v>
      </c>
      <c r="AH2" s="3" t="s">
        <v>82</v>
      </c>
      <c r="AI2" s="3" t="s">
        <v>76</v>
      </c>
      <c r="AJ2" s="3" t="s">
        <v>82</v>
      </c>
      <c r="AK2" s="3" t="s">
        <v>76</v>
      </c>
      <c r="AL2" s="3" t="s">
        <v>76</v>
      </c>
      <c r="AM2" s="3" t="s">
        <v>76</v>
      </c>
      <c r="AN2" s="3" t="s">
        <v>76</v>
      </c>
      <c r="AO2" s="3" t="s">
        <v>76</v>
      </c>
      <c r="AP2" s="3" t="s">
        <v>83</v>
      </c>
      <c r="AQ2" s="3" t="s">
        <v>76</v>
      </c>
      <c r="AR2" s="3" t="s">
        <v>76</v>
      </c>
      <c r="AS2" s="3" t="s">
        <v>76</v>
      </c>
      <c r="AT2" s="3" t="s">
        <v>76</v>
      </c>
      <c r="AU2" s="3" t="s">
        <v>84</v>
      </c>
      <c r="AV2" s="3" t="s">
        <v>76</v>
      </c>
      <c r="AW2" s="3" t="s">
        <v>84</v>
      </c>
      <c r="AX2" s="3" t="s">
        <v>76</v>
      </c>
      <c r="AY2" s="3" t="s">
        <v>76</v>
      </c>
      <c r="AZ2" s="3" t="s">
        <v>85</v>
      </c>
      <c r="BA2" s="3" t="s">
        <v>76</v>
      </c>
      <c r="BB2" s="3" t="s">
        <v>85</v>
      </c>
      <c r="BC2" s="3" t="s">
        <v>76</v>
      </c>
      <c r="BD2" s="3" t="s">
        <v>85</v>
      </c>
      <c r="BE2" s="3" t="s">
        <v>86</v>
      </c>
      <c r="BF2" s="3" t="s">
        <v>87</v>
      </c>
      <c r="BG2" s="3" t="s">
        <v>76</v>
      </c>
      <c r="BH2" s="3" t="s">
        <v>87</v>
      </c>
      <c r="BI2" s="3" t="s">
        <v>76</v>
      </c>
      <c r="BJ2" s="3" t="s">
        <v>76</v>
      </c>
      <c r="BK2" s="3" t="s">
        <v>87</v>
      </c>
      <c r="BL2" s="3" t="s">
        <v>88</v>
      </c>
      <c r="BM2" s="3" t="s">
        <v>89</v>
      </c>
      <c r="BN2" s="3" t="s">
        <v>88</v>
      </c>
      <c r="BO2" s="3" t="s">
        <v>89</v>
      </c>
      <c r="BP2" s="3" t="s">
        <v>76</v>
      </c>
      <c r="BQ2" s="3" t="s">
        <v>76</v>
      </c>
      <c r="BR2" s="3" t="s">
        <v>76</v>
      </c>
      <c r="BS2" s="3" t="s">
        <v>76</v>
      </c>
      <c r="BT2" s="3" t="s">
        <v>90</v>
      </c>
      <c r="BU2" s="3" t="s">
        <v>91</v>
      </c>
      <c r="BV2" s="3" t="s">
        <v>76</v>
      </c>
      <c r="BW2" s="3" t="s">
        <v>76</v>
      </c>
      <c r="BX2" s="5">
        <f t="shared" ref="BX2:BX14" si="0">SUMPRODUCT((D2:BW2=D$18:BW$18)*(D$18:BW$18&lt;&gt;""))</f>
        <v>3</v>
      </c>
      <c r="BY2" t="str">
        <f>Form_Responses[[#This Row],[Aquí ponga su nombre y apellido]]</f>
        <v xml:space="preserve">Gianna </v>
      </c>
    </row>
    <row r="3" spans="1:77" ht="22.5" customHeight="1" x14ac:dyDescent="0.2">
      <c r="A3" s="2">
        <v>46182.660477708334</v>
      </c>
      <c r="B3" s="3" t="s">
        <v>75</v>
      </c>
      <c r="C3" s="3" t="s">
        <v>132</v>
      </c>
      <c r="D3" s="3" t="s">
        <v>77</v>
      </c>
      <c r="E3" s="3" t="s">
        <v>92</v>
      </c>
      <c r="F3" s="3" t="s">
        <v>93</v>
      </c>
      <c r="G3" s="3" t="s">
        <v>77</v>
      </c>
      <c r="H3" s="3" t="s">
        <v>94</v>
      </c>
      <c r="I3" s="3" t="s">
        <v>76</v>
      </c>
      <c r="J3" s="3" t="s">
        <v>95</v>
      </c>
      <c r="K3" s="3" t="s">
        <v>96</v>
      </c>
      <c r="L3" s="3" t="s">
        <v>96</v>
      </c>
      <c r="M3" s="3" t="s">
        <v>95</v>
      </c>
      <c r="N3" s="3" t="s">
        <v>96</v>
      </c>
      <c r="O3" s="3" t="s">
        <v>97</v>
      </c>
      <c r="P3" s="3" t="s">
        <v>98</v>
      </c>
      <c r="Q3" s="3" t="s">
        <v>99</v>
      </c>
      <c r="R3" s="3" t="s">
        <v>98</v>
      </c>
      <c r="S3" s="3" t="s">
        <v>78</v>
      </c>
      <c r="T3" s="3" t="s">
        <v>76</v>
      </c>
      <c r="U3" s="3" t="s">
        <v>98</v>
      </c>
      <c r="V3" s="3" t="s">
        <v>79</v>
      </c>
      <c r="W3" s="3" t="s">
        <v>100</v>
      </c>
      <c r="X3" s="3" t="s">
        <v>101</v>
      </c>
      <c r="Y3" s="3" t="s">
        <v>79</v>
      </c>
      <c r="Z3" s="3" t="s">
        <v>101</v>
      </c>
      <c r="AA3" s="3" t="s">
        <v>76</v>
      </c>
      <c r="AB3" s="3" t="s">
        <v>80</v>
      </c>
      <c r="AC3" s="3" t="s">
        <v>102</v>
      </c>
      <c r="AD3" s="3" t="s">
        <v>102</v>
      </c>
      <c r="AE3" s="3" t="s">
        <v>81</v>
      </c>
      <c r="AF3" s="3" t="s">
        <v>102</v>
      </c>
      <c r="AG3" s="3" t="s">
        <v>81</v>
      </c>
      <c r="AH3" s="3" t="s">
        <v>76</v>
      </c>
      <c r="AI3" s="3" t="s">
        <v>103</v>
      </c>
      <c r="AJ3" s="3" t="s">
        <v>82</v>
      </c>
      <c r="AK3" s="3" t="s">
        <v>104</v>
      </c>
      <c r="AL3" s="3" t="s">
        <v>104</v>
      </c>
      <c r="AM3" s="3" t="s">
        <v>82</v>
      </c>
      <c r="AN3" s="3" t="s">
        <v>83</v>
      </c>
      <c r="AO3" s="3" t="s">
        <v>105</v>
      </c>
      <c r="AP3" s="3" t="s">
        <v>83</v>
      </c>
      <c r="AQ3" s="3" t="s">
        <v>106</v>
      </c>
      <c r="AR3" s="3" t="s">
        <v>106</v>
      </c>
      <c r="AS3" s="3" t="s">
        <v>76</v>
      </c>
      <c r="AT3" s="3" t="s">
        <v>107</v>
      </c>
      <c r="AU3" s="3" t="s">
        <v>84</v>
      </c>
      <c r="AV3" s="3" t="s">
        <v>108</v>
      </c>
      <c r="AW3" s="3" t="s">
        <v>84</v>
      </c>
      <c r="AX3" s="3" t="s">
        <v>108</v>
      </c>
      <c r="AY3" s="3" t="s">
        <v>76</v>
      </c>
      <c r="AZ3" s="3" t="s">
        <v>85</v>
      </c>
      <c r="BA3" s="3" t="s">
        <v>109</v>
      </c>
      <c r="BB3" s="3" t="s">
        <v>85</v>
      </c>
      <c r="BC3" s="3" t="s">
        <v>86</v>
      </c>
      <c r="BD3" s="3" t="s">
        <v>76</v>
      </c>
      <c r="BE3" s="3" t="s">
        <v>86</v>
      </c>
      <c r="BF3" s="3" t="s">
        <v>87</v>
      </c>
      <c r="BG3" s="3" t="s">
        <v>110</v>
      </c>
      <c r="BH3" s="3" t="s">
        <v>87</v>
      </c>
      <c r="BI3" s="3" t="s">
        <v>111</v>
      </c>
      <c r="BJ3" s="3" t="s">
        <v>111</v>
      </c>
      <c r="BK3" s="3" t="s">
        <v>87</v>
      </c>
      <c r="BL3" s="3" t="s">
        <v>88</v>
      </c>
      <c r="BM3" s="3" t="s">
        <v>89</v>
      </c>
      <c r="BN3" s="3" t="s">
        <v>88</v>
      </c>
      <c r="BO3" s="3" t="s">
        <v>89</v>
      </c>
      <c r="BP3" s="3" t="s">
        <v>88</v>
      </c>
      <c r="BQ3" s="3" t="s">
        <v>112</v>
      </c>
      <c r="BR3" s="3" t="s">
        <v>90</v>
      </c>
      <c r="BS3" s="3" t="s">
        <v>113</v>
      </c>
      <c r="BT3" s="3" t="s">
        <v>76</v>
      </c>
      <c r="BU3" s="3" t="s">
        <v>114</v>
      </c>
      <c r="BV3" s="3" t="s">
        <v>90</v>
      </c>
      <c r="BW3" s="3" t="s">
        <v>76</v>
      </c>
      <c r="BX3" s="5">
        <f t="shared" si="0"/>
        <v>8</v>
      </c>
      <c r="BY3" t="str">
        <f>Form_Responses[[#This Row],[Aquí ponga su nombre y apellido]]</f>
        <v xml:space="preserve">Justino  </v>
      </c>
    </row>
    <row r="4" spans="1:77" ht="22.5" customHeight="1" x14ac:dyDescent="0.2">
      <c r="A4" s="2">
        <v>46182.665598437496</v>
      </c>
      <c r="B4" s="3" t="s">
        <v>75</v>
      </c>
      <c r="C4" s="3" t="s">
        <v>133</v>
      </c>
      <c r="D4" s="3" t="s">
        <v>77</v>
      </c>
      <c r="E4" s="3" t="s">
        <v>76</v>
      </c>
      <c r="F4" s="3" t="s">
        <v>93</v>
      </c>
      <c r="G4" s="3" t="s">
        <v>76</v>
      </c>
      <c r="H4" s="3" t="s">
        <v>92</v>
      </c>
      <c r="I4" s="3" t="s">
        <v>115</v>
      </c>
      <c r="J4" s="3" t="s">
        <v>76</v>
      </c>
      <c r="K4" s="3" t="s">
        <v>96</v>
      </c>
      <c r="L4" s="3" t="s">
        <v>96</v>
      </c>
      <c r="M4" s="3" t="s">
        <v>95</v>
      </c>
      <c r="N4" s="3" t="s">
        <v>96</v>
      </c>
      <c r="O4" s="3" t="s">
        <v>97</v>
      </c>
      <c r="P4" s="3" t="s">
        <v>78</v>
      </c>
      <c r="Q4" s="3" t="s">
        <v>99</v>
      </c>
      <c r="R4" s="3" t="s">
        <v>99</v>
      </c>
      <c r="S4" s="3" t="s">
        <v>78</v>
      </c>
      <c r="T4" s="3" t="s">
        <v>99</v>
      </c>
      <c r="U4" s="3" t="s">
        <v>98</v>
      </c>
      <c r="V4" s="3" t="s">
        <v>79</v>
      </c>
      <c r="W4" s="3" t="s">
        <v>116</v>
      </c>
      <c r="X4" s="3" t="s">
        <v>76</v>
      </c>
      <c r="Y4" s="3" t="s">
        <v>79</v>
      </c>
      <c r="Z4" s="3" t="s">
        <v>116</v>
      </c>
      <c r="AA4" s="3" t="s">
        <v>79</v>
      </c>
      <c r="AB4" s="3" t="s">
        <v>80</v>
      </c>
      <c r="AC4" s="3" t="s">
        <v>81</v>
      </c>
      <c r="AD4" s="3" t="s">
        <v>80</v>
      </c>
      <c r="AE4" s="3" t="s">
        <v>81</v>
      </c>
      <c r="AF4" s="3" t="s">
        <v>76</v>
      </c>
      <c r="AG4" s="3" t="s">
        <v>80</v>
      </c>
      <c r="AH4" s="3" t="s">
        <v>82</v>
      </c>
      <c r="AI4" s="3" t="s">
        <v>103</v>
      </c>
      <c r="AJ4" s="3" t="s">
        <v>82</v>
      </c>
      <c r="AK4" s="3" t="s">
        <v>104</v>
      </c>
      <c r="AL4" s="3" t="s">
        <v>103</v>
      </c>
      <c r="AM4" s="3" t="s">
        <v>82</v>
      </c>
      <c r="AN4" s="3" t="s">
        <v>83</v>
      </c>
      <c r="AO4" s="3" t="s">
        <v>105</v>
      </c>
      <c r="AP4" s="3" t="s">
        <v>83</v>
      </c>
      <c r="AQ4" s="3" t="s">
        <v>76</v>
      </c>
      <c r="AR4" s="3" t="s">
        <v>105</v>
      </c>
      <c r="AS4" s="3" t="s">
        <v>83</v>
      </c>
      <c r="AT4" s="3" t="s">
        <v>107</v>
      </c>
      <c r="AU4" s="3" t="s">
        <v>84</v>
      </c>
      <c r="AV4" s="3" t="s">
        <v>107</v>
      </c>
      <c r="AW4" s="3" t="s">
        <v>84</v>
      </c>
      <c r="AX4" s="3" t="s">
        <v>108</v>
      </c>
      <c r="AY4" s="3" t="s">
        <v>107</v>
      </c>
      <c r="AZ4" s="3" t="s">
        <v>85</v>
      </c>
      <c r="BA4" s="3" t="s">
        <v>109</v>
      </c>
      <c r="BB4" s="3" t="s">
        <v>85</v>
      </c>
      <c r="BC4" s="3" t="s">
        <v>86</v>
      </c>
      <c r="BD4" s="3" t="s">
        <v>85</v>
      </c>
      <c r="BE4" s="3" t="s">
        <v>117</v>
      </c>
      <c r="BF4" s="3" t="s">
        <v>87</v>
      </c>
      <c r="BG4" s="3" t="s">
        <v>76</v>
      </c>
      <c r="BH4" s="3" t="s">
        <v>87</v>
      </c>
      <c r="BI4" s="3" t="s">
        <v>111</v>
      </c>
      <c r="BJ4" s="3" t="s">
        <v>110</v>
      </c>
      <c r="BK4" s="3" t="s">
        <v>87</v>
      </c>
      <c r="BL4" s="3" t="s">
        <v>88</v>
      </c>
      <c r="BM4" s="3" t="s">
        <v>89</v>
      </c>
      <c r="BN4" s="3" t="s">
        <v>88</v>
      </c>
      <c r="BO4" s="3" t="s">
        <v>89</v>
      </c>
      <c r="BP4" s="3" t="s">
        <v>89</v>
      </c>
      <c r="BQ4" s="3" t="s">
        <v>112</v>
      </c>
      <c r="BR4" s="3" t="s">
        <v>114</v>
      </c>
      <c r="BS4" s="3" t="s">
        <v>113</v>
      </c>
      <c r="BT4" s="3" t="s">
        <v>90</v>
      </c>
      <c r="BU4" s="3" t="s">
        <v>114</v>
      </c>
      <c r="BV4" s="3" t="s">
        <v>90</v>
      </c>
      <c r="BW4" s="3" t="s">
        <v>114</v>
      </c>
      <c r="BX4" s="5">
        <f t="shared" si="0"/>
        <v>5</v>
      </c>
      <c r="BY4" t="str">
        <f>Form_Responses[[#This Row],[Aquí ponga su nombre y apellido]]</f>
        <v xml:space="preserve">Adrián  </v>
      </c>
    </row>
    <row r="5" spans="1:77" ht="22.5" customHeight="1" x14ac:dyDescent="0.2">
      <c r="A5" s="2">
        <v>46182.671624236114</v>
      </c>
      <c r="B5" s="3" t="s">
        <v>75</v>
      </c>
      <c r="C5" s="3" t="s">
        <v>134</v>
      </c>
      <c r="D5" s="3" t="s">
        <v>76</v>
      </c>
      <c r="E5" s="3" t="s">
        <v>92</v>
      </c>
      <c r="F5" s="3" t="s">
        <v>93</v>
      </c>
      <c r="G5" s="3" t="s">
        <v>77</v>
      </c>
      <c r="H5" s="3" t="s">
        <v>92</v>
      </c>
      <c r="I5" s="3" t="s">
        <v>115</v>
      </c>
      <c r="J5" s="3" t="s">
        <v>95</v>
      </c>
      <c r="K5" s="3" t="s">
        <v>76</v>
      </c>
      <c r="L5" s="3" t="s">
        <v>118</v>
      </c>
      <c r="M5" s="3" t="s">
        <v>95</v>
      </c>
      <c r="N5" s="3" t="s">
        <v>96</v>
      </c>
      <c r="O5" s="3" t="s">
        <v>118</v>
      </c>
      <c r="P5" s="3" t="s">
        <v>78</v>
      </c>
      <c r="Q5" s="3" t="s">
        <v>99</v>
      </c>
      <c r="R5" s="3" t="s">
        <v>98</v>
      </c>
      <c r="S5" s="3" t="s">
        <v>78</v>
      </c>
      <c r="T5" s="3" t="s">
        <v>78</v>
      </c>
      <c r="U5" s="3" t="s">
        <v>98</v>
      </c>
      <c r="V5" s="3" t="s">
        <v>76</v>
      </c>
      <c r="W5" s="3" t="s">
        <v>116</v>
      </c>
      <c r="X5" s="3" t="s">
        <v>101</v>
      </c>
      <c r="Y5" s="3" t="s">
        <v>116</v>
      </c>
      <c r="Z5" s="3" t="s">
        <v>116</v>
      </c>
      <c r="AA5" s="3" t="s">
        <v>79</v>
      </c>
      <c r="AB5" s="3" t="s">
        <v>80</v>
      </c>
      <c r="AC5" s="3" t="s">
        <v>81</v>
      </c>
      <c r="AD5" s="3" t="s">
        <v>80</v>
      </c>
      <c r="AE5" s="3" t="s">
        <v>81</v>
      </c>
      <c r="AF5" s="3" t="s">
        <v>102</v>
      </c>
      <c r="AG5" s="3" t="s">
        <v>76</v>
      </c>
      <c r="AH5" s="3" t="s">
        <v>119</v>
      </c>
      <c r="AI5" s="3" t="s">
        <v>76</v>
      </c>
      <c r="AJ5" s="3" t="s">
        <v>82</v>
      </c>
      <c r="AK5" s="3" t="s">
        <v>104</v>
      </c>
      <c r="AL5" s="3" t="s">
        <v>104</v>
      </c>
      <c r="AM5" s="3" t="s">
        <v>82</v>
      </c>
      <c r="AN5" s="3" t="s">
        <v>83</v>
      </c>
      <c r="AO5" s="3" t="s">
        <v>105</v>
      </c>
      <c r="AP5" s="3" t="s">
        <v>76</v>
      </c>
      <c r="AQ5" s="3" t="s">
        <v>106</v>
      </c>
      <c r="AR5" s="3" t="s">
        <v>106</v>
      </c>
      <c r="AS5" s="3" t="s">
        <v>83</v>
      </c>
      <c r="AT5" s="3" t="s">
        <v>107</v>
      </c>
      <c r="AU5" s="3" t="s">
        <v>84</v>
      </c>
      <c r="AV5" s="3" t="s">
        <v>107</v>
      </c>
      <c r="AW5" s="3" t="s">
        <v>76</v>
      </c>
      <c r="AX5" s="3" t="s">
        <v>120</v>
      </c>
      <c r="AY5" s="3" t="s">
        <v>84</v>
      </c>
      <c r="AZ5" s="3" t="s">
        <v>86</v>
      </c>
      <c r="BA5" s="3" t="s">
        <v>109</v>
      </c>
      <c r="BB5" s="3" t="s">
        <v>85</v>
      </c>
      <c r="BC5" s="3" t="s">
        <v>109</v>
      </c>
      <c r="BD5" s="3" t="s">
        <v>85</v>
      </c>
      <c r="BE5" s="3" t="s">
        <v>86</v>
      </c>
      <c r="BF5" s="3" t="s">
        <v>87</v>
      </c>
      <c r="BG5" s="3" t="s">
        <v>110</v>
      </c>
      <c r="BH5" s="3" t="s">
        <v>87</v>
      </c>
      <c r="BI5" s="3" t="s">
        <v>111</v>
      </c>
      <c r="BJ5" s="3" t="s">
        <v>111</v>
      </c>
      <c r="BK5" s="3" t="s">
        <v>87</v>
      </c>
      <c r="BL5" s="3" t="s">
        <v>88</v>
      </c>
      <c r="BM5" s="3" t="s">
        <v>89</v>
      </c>
      <c r="BN5" s="3" t="s">
        <v>88</v>
      </c>
      <c r="BO5" s="3" t="s">
        <v>89</v>
      </c>
      <c r="BP5" s="3" t="s">
        <v>88</v>
      </c>
      <c r="BQ5" s="3" t="s">
        <v>112</v>
      </c>
      <c r="BR5" s="3" t="s">
        <v>90</v>
      </c>
      <c r="BS5" s="3" t="s">
        <v>113</v>
      </c>
      <c r="BT5" s="3" t="s">
        <v>76</v>
      </c>
      <c r="BU5" s="3" t="s">
        <v>114</v>
      </c>
      <c r="BV5" s="3" t="s">
        <v>90</v>
      </c>
      <c r="BW5" s="3" t="s">
        <v>76</v>
      </c>
      <c r="BX5" s="5">
        <f t="shared" si="0"/>
        <v>4</v>
      </c>
      <c r="BY5" t="str">
        <f>Form_Responses[[#This Row],[Aquí ponga su nombre y apellido]]</f>
        <v xml:space="preserve">Tomas  </v>
      </c>
    </row>
    <row r="6" spans="1:77" ht="22.5" customHeight="1" x14ac:dyDescent="0.2">
      <c r="A6" s="2">
        <v>46183.613715416664</v>
      </c>
      <c r="B6" s="3" t="s">
        <v>75</v>
      </c>
      <c r="C6" s="3" t="s">
        <v>135</v>
      </c>
      <c r="D6" s="3" t="s">
        <v>77</v>
      </c>
      <c r="E6" s="3" t="s">
        <v>76</v>
      </c>
      <c r="F6" s="3" t="s">
        <v>93</v>
      </c>
      <c r="G6" s="3" t="s">
        <v>77</v>
      </c>
      <c r="H6" s="3" t="s">
        <v>92</v>
      </c>
      <c r="I6" s="3" t="s">
        <v>76</v>
      </c>
      <c r="J6" s="3" t="s">
        <v>95</v>
      </c>
      <c r="K6" s="3" t="s">
        <v>96</v>
      </c>
      <c r="L6" s="3" t="s">
        <v>96</v>
      </c>
      <c r="M6" s="3" t="s">
        <v>76</v>
      </c>
      <c r="N6" s="3" t="s">
        <v>95</v>
      </c>
      <c r="O6" s="3" t="s">
        <v>97</v>
      </c>
      <c r="P6" s="3" t="s">
        <v>76</v>
      </c>
      <c r="Q6" s="3" t="s">
        <v>99</v>
      </c>
      <c r="R6" s="3" t="s">
        <v>98</v>
      </c>
      <c r="S6" s="3" t="s">
        <v>78</v>
      </c>
      <c r="T6" s="3" t="s">
        <v>78</v>
      </c>
      <c r="U6" s="3" t="s">
        <v>98</v>
      </c>
      <c r="V6" s="3" t="s">
        <v>76</v>
      </c>
      <c r="W6" s="3" t="s">
        <v>116</v>
      </c>
      <c r="X6" s="3" t="s">
        <v>76</v>
      </c>
      <c r="Y6" s="3" t="s">
        <v>79</v>
      </c>
      <c r="Z6" s="3" t="s">
        <v>101</v>
      </c>
      <c r="AA6" s="3" t="s">
        <v>100</v>
      </c>
      <c r="AB6" s="3" t="s">
        <v>80</v>
      </c>
      <c r="AC6" s="3" t="s">
        <v>76</v>
      </c>
      <c r="AD6" s="3" t="s">
        <v>76</v>
      </c>
      <c r="AE6" s="3" t="s">
        <v>81</v>
      </c>
      <c r="AF6" s="3" t="s">
        <v>102</v>
      </c>
      <c r="AG6" s="3" t="s">
        <v>80</v>
      </c>
      <c r="AH6" s="3" t="s">
        <v>76</v>
      </c>
      <c r="AI6" s="3" t="s">
        <v>76</v>
      </c>
      <c r="AJ6" s="3" t="s">
        <v>76</v>
      </c>
      <c r="AK6" s="3" t="s">
        <v>104</v>
      </c>
      <c r="AL6" s="3" t="s">
        <v>103</v>
      </c>
      <c r="AM6" s="3" t="s">
        <v>82</v>
      </c>
      <c r="AN6" s="3" t="s">
        <v>83</v>
      </c>
      <c r="AO6" s="3" t="s">
        <v>105</v>
      </c>
      <c r="AP6" s="3" t="s">
        <v>83</v>
      </c>
      <c r="AQ6" s="3" t="s">
        <v>106</v>
      </c>
      <c r="AR6" s="3" t="s">
        <v>76</v>
      </c>
      <c r="AS6" s="3" t="s">
        <v>83</v>
      </c>
      <c r="AT6" s="3" t="s">
        <v>107</v>
      </c>
      <c r="AU6" s="3" t="s">
        <v>84</v>
      </c>
      <c r="AV6" s="3" t="s">
        <v>107</v>
      </c>
      <c r="AW6" s="3" t="s">
        <v>84</v>
      </c>
      <c r="AX6" s="3" t="s">
        <v>108</v>
      </c>
      <c r="AY6" s="3" t="s">
        <v>107</v>
      </c>
      <c r="AZ6" s="3" t="s">
        <v>85</v>
      </c>
      <c r="BA6" s="3" t="s">
        <v>109</v>
      </c>
      <c r="BB6" s="3" t="s">
        <v>85</v>
      </c>
      <c r="BC6" s="3" t="s">
        <v>86</v>
      </c>
      <c r="BD6" s="3" t="s">
        <v>85</v>
      </c>
      <c r="BE6" s="3" t="s">
        <v>86</v>
      </c>
      <c r="BF6" s="3" t="s">
        <v>87</v>
      </c>
      <c r="BG6" s="3" t="s">
        <v>110</v>
      </c>
      <c r="BH6" s="3" t="s">
        <v>76</v>
      </c>
      <c r="BI6" s="3" t="s">
        <v>111</v>
      </c>
      <c r="BJ6" s="3" t="s">
        <v>76</v>
      </c>
      <c r="BK6" s="3" t="s">
        <v>87</v>
      </c>
      <c r="BL6" s="3" t="s">
        <v>88</v>
      </c>
      <c r="BM6" s="3" t="s">
        <v>89</v>
      </c>
      <c r="BN6" s="3" t="s">
        <v>76</v>
      </c>
      <c r="BO6" s="3" t="s">
        <v>89</v>
      </c>
      <c r="BP6" s="3" t="s">
        <v>88</v>
      </c>
      <c r="BQ6" s="3" t="s">
        <v>112</v>
      </c>
      <c r="BR6" s="3" t="s">
        <v>90</v>
      </c>
      <c r="BS6" s="3" t="s">
        <v>113</v>
      </c>
      <c r="BT6" s="3" t="s">
        <v>76</v>
      </c>
      <c r="BU6" s="3" t="s">
        <v>114</v>
      </c>
      <c r="BV6" s="3" t="s">
        <v>90</v>
      </c>
      <c r="BW6" s="3" t="s">
        <v>114</v>
      </c>
      <c r="BX6" s="5">
        <f t="shared" si="0"/>
        <v>5</v>
      </c>
      <c r="BY6" t="str">
        <f>Form_Responses[[#This Row],[Aquí ponga su nombre y apellido]]</f>
        <v xml:space="preserve">Tito  </v>
      </c>
    </row>
    <row r="7" spans="1:77" ht="22.5" customHeight="1" x14ac:dyDescent="0.2">
      <c r="A7" s="2">
        <v>46183.619047465283</v>
      </c>
      <c r="B7" s="3" t="s">
        <v>75</v>
      </c>
      <c r="C7" s="3" t="s">
        <v>136</v>
      </c>
      <c r="D7" s="3" t="s">
        <v>77</v>
      </c>
      <c r="E7" s="3" t="s">
        <v>92</v>
      </c>
      <c r="F7" s="3" t="s">
        <v>94</v>
      </c>
      <c r="G7" s="3" t="s">
        <v>76</v>
      </c>
      <c r="H7" s="3" t="s">
        <v>76</v>
      </c>
      <c r="I7" s="3" t="s">
        <v>115</v>
      </c>
      <c r="J7" s="3" t="s">
        <v>118</v>
      </c>
      <c r="K7" s="3" t="s">
        <v>97</v>
      </c>
      <c r="L7" s="3" t="s">
        <v>76</v>
      </c>
      <c r="M7" s="3" t="s">
        <v>95</v>
      </c>
      <c r="N7" s="3" t="s">
        <v>76</v>
      </c>
      <c r="O7" s="3" t="s">
        <v>97</v>
      </c>
      <c r="P7" s="3" t="s">
        <v>98</v>
      </c>
      <c r="Q7" s="3" t="s">
        <v>76</v>
      </c>
      <c r="R7" s="3" t="s">
        <v>98</v>
      </c>
      <c r="S7" s="3" t="s">
        <v>78</v>
      </c>
      <c r="T7" s="3" t="s">
        <v>78</v>
      </c>
      <c r="U7" s="3" t="s">
        <v>76</v>
      </c>
      <c r="V7" s="3" t="s">
        <v>79</v>
      </c>
      <c r="W7" s="3" t="s">
        <v>116</v>
      </c>
      <c r="X7" s="3" t="s">
        <v>76</v>
      </c>
      <c r="Y7" s="3" t="s">
        <v>76</v>
      </c>
      <c r="Z7" s="3" t="s">
        <v>116</v>
      </c>
      <c r="AA7" s="3" t="s">
        <v>79</v>
      </c>
      <c r="AB7" s="3" t="s">
        <v>80</v>
      </c>
      <c r="AC7" s="3" t="s">
        <v>102</v>
      </c>
      <c r="AD7" s="3" t="s">
        <v>76</v>
      </c>
      <c r="AE7" s="3" t="s">
        <v>81</v>
      </c>
      <c r="AF7" s="3" t="s">
        <v>76</v>
      </c>
      <c r="AG7" s="3" t="s">
        <v>80</v>
      </c>
      <c r="AH7" s="3" t="s">
        <v>119</v>
      </c>
      <c r="AI7" s="3" t="s">
        <v>103</v>
      </c>
      <c r="AJ7" s="3" t="s">
        <v>82</v>
      </c>
      <c r="AK7" s="3" t="s">
        <v>104</v>
      </c>
      <c r="AL7" s="3" t="s">
        <v>76</v>
      </c>
      <c r="AM7" s="3" t="s">
        <v>76</v>
      </c>
      <c r="AN7" s="3" t="s">
        <v>83</v>
      </c>
      <c r="AO7" s="3" t="s">
        <v>76</v>
      </c>
      <c r="AP7" s="3" t="s">
        <v>105</v>
      </c>
      <c r="AQ7" s="3" t="s">
        <v>76</v>
      </c>
      <c r="AR7" s="3" t="s">
        <v>105</v>
      </c>
      <c r="AS7" s="3" t="s">
        <v>83</v>
      </c>
      <c r="AT7" s="3" t="s">
        <v>120</v>
      </c>
      <c r="AU7" s="3" t="s">
        <v>76</v>
      </c>
      <c r="AV7" s="3" t="s">
        <v>107</v>
      </c>
      <c r="AW7" s="3" t="s">
        <v>84</v>
      </c>
      <c r="AX7" s="3" t="s">
        <v>120</v>
      </c>
      <c r="AY7" s="3" t="s">
        <v>76</v>
      </c>
      <c r="AZ7" s="3" t="s">
        <v>86</v>
      </c>
      <c r="BA7" s="3" t="s">
        <v>117</v>
      </c>
      <c r="BB7" s="3" t="s">
        <v>76</v>
      </c>
      <c r="BC7" s="3" t="s">
        <v>86</v>
      </c>
      <c r="BD7" s="3" t="s">
        <v>85</v>
      </c>
      <c r="BE7" s="3" t="s">
        <v>76</v>
      </c>
      <c r="BF7" s="3" t="s">
        <v>87</v>
      </c>
      <c r="BG7" s="3" t="s">
        <v>76</v>
      </c>
      <c r="BH7" s="3" t="s">
        <v>87</v>
      </c>
      <c r="BI7" s="3" t="s">
        <v>76</v>
      </c>
      <c r="BJ7" s="3" t="s">
        <v>111</v>
      </c>
      <c r="BK7" s="3" t="s">
        <v>87</v>
      </c>
      <c r="BL7" s="3" t="s">
        <v>88</v>
      </c>
      <c r="BM7" s="3" t="s">
        <v>89</v>
      </c>
      <c r="BN7" s="3" t="s">
        <v>76</v>
      </c>
      <c r="BO7" s="3" t="s">
        <v>89</v>
      </c>
      <c r="BP7" s="3" t="s">
        <v>89</v>
      </c>
      <c r="BQ7" s="3" t="s">
        <v>76</v>
      </c>
      <c r="BR7" s="3" t="s">
        <v>90</v>
      </c>
      <c r="BS7" s="3" t="s">
        <v>91</v>
      </c>
      <c r="BT7" s="3" t="s">
        <v>90</v>
      </c>
      <c r="BU7" s="3" t="s">
        <v>114</v>
      </c>
      <c r="BV7" s="3" t="s">
        <v>90</v>
      </c>
      <c r="BW7" s="3" t="s">
        <v>76</v>
      </c>
      <c r="BX7" s="5">
        <f t="shared" si="0"/>
        <v>5</v>
      </c>
      <c r="BY7" t="str">
        <f>Form_Responses[[#This Row],[Aquí ponga su nombre y apellido]]</f>
        <v xml:space="preserve">Pamela  </v>
      </c>
    </row>
    <row r="8" spans="1:77" ht="22.5" customHeight="1" x14ac:dyDescent="0.2">
      <c r="A8" s="2">
        <v>46183.839651898146</v>
      </c>
      <c r="B8" s="3" t="s">
        <v>121</v>
      </c>
      <c r="C8" s="3" t="s">
        <v>137</v>
      </c>
      <c r="D8" s="3" t="s">
        <v>77</v>
      </c>
      <c r="E8" s="3" t="s">
        <v>76</v>
      </c>
      <c r="F8" s="3" t="s">
        <v>93</v>
      </c>
      <c r="G8" s="3" t="s">
        <v>77</v>
      </c>
      <c r="H8" s="3" t="s">
        <v>92</v>
      </c>
      <c r="I8" s="3" t="s">
        <v>76</v>
      </c>
      <c r="J8" s="3" t="s">
        <v>76</v>
      </c>
      <c r="K8" s="3" t="s">
        <v>96</v>
      </c>
      <c r="L8" s="3" t="s">
        <v>76</v>
      </c>
      <c r="M8" s="3" t="s">
        <v>95</v>
      </c>
      <c r="N8" s="3" t="s">
        <v>76</v>
      </c>
      <c r="O8" s="3" t="s">
        <v>118</v>
      </c>
      <c r="P8" s="3" t="s">
        <v>76</v>
      </c>
      <c r="Q8" s="3" t="s">
        <v>99</v>
      </c>
      <c r="R8" s="3" t="s">
        <v>98</v>
      </c>
      <c r="S8" s="3" t="s">
        <v>78</v>
      </c>
      <c r="T8" s="3" t="s">
        <v>76</v>
      </c>
      <c r="U8" s="3" t="s">
        <v>98</v>
      </c>
      <c r="V8" s="3" t="s">
        <v>79</v>
      </c>
      <c r="W8" s="3" t="s">
        <v>116</v>
      </c>
      <c r="X8" s="3" t="s">
        <v>101</v>
      </c>
      <c r="Y8" s="3" t="s">
        <v>76</v>
      </c>
      <c r="Z8" s="3" t="s">
        <v>116</v>
      </c>
      <c r="AA8" s="3" t="s">
        <v>79</v>
      </c>
      <c r="AB8" s="3" t="s">
        <v>80</v>
      </c>
      <c r="AC8" s="3" t="s">
        <v>81</v>
      </c>
      <c r="AD8" s="3" t="s">
        <v>80</v>
      </c>
      <c r="AE8" s="3" t="s">
        <v>81</v>
      </c>
      <c r="AF8" s="3" t="s">
        <v>102</v>
      </c>
      <c r="AG8" s="3" t="s">
        <v>76</v>
      </c>
      <c r="AH8" s="3" t="s">
        <v>76</v>
      </c>
      <c r="AI8" s="3" t="s">
        <v>103</v>
      </c>
      <c r="AJ8" s="3" t="s">
        <v>82</v>
      </c>
      <c r="AK8" s="3" t="s">
        <v>104</v>
      </c>
      <c r="AL8" s="3" t="s">
        <v>76</v>
      </c>
      <c r="AM8" s="3" t="s">
        <v>82</v>
      </c>
      <c r="AN8" s="3" t="s">
        <v>83</v>
      </c>
      <c r="AO8" s="3" t="s">
        <v>122</v>
      </c>
      <c r="AP8" s="3" t="s">
        <v>83</v>
      </c>
      <c r="AQ8" s="3" t="s">
        <v>106</v>
      </c>
      <c r="AR8" s="3" t="s">
        <v>76</v>
      </c>
      <c r="AS8" s="3" t="s">
        <v>83</v>
      </c>
      <c r="AT8" s="3" t="s">
        <v>107</v>
      </c>
      <c r="AU8" s="3" t="s">
        <v>76</v>
      </c>
      <c r="AV8" s="3" t="s">
        <v>107</v>
      </c>
      <c r="AW8" s="3" t="s">
        <v>84</v>
      </c>
      <c r="AX8" s="3" t="s">
        <v>108</v>
      </c>
      <c r="AY8" s="3" t="s">
        <v>107</v>
      </c>
      <c r="AZ8" s="3" t="s">
        <v>85</v>
      </c>
      <c r="BA8" s="3" t="s">
        <v>109</v>
      </c>
      <c r="BB8" s="3" t="s">
        <v>85</v>
      </c>
      <c r="BC8" s="3" t="s">
        <v>76</v>
      </c>
      <c r="BD8" s="3" t="s">
        <v>85</v>
      </c>
      <c r="BE8" s="3" t="s">
        <v>86</v>
      </c>
      <c r="BF8" s="3" t="s">
        <v>87</v>
      </c>
      <c r="BG8" s="3" t="s">
        <v>110</v>
      </c>
      <c r="BH8" s="3" t="s">
        <v>87</v>
      </c>
      <c r="BI8" s="3" t="s">
        <v>111</v>
      </c>
      <c r="BJ8" s="3" t="s">
        <v>76</v>
      </c>
      <c r="BK8" s="3" t="s">
        <v>87</v>
      </c>
      <c r="BL8" s="3" t="s">
        <v>88</v>
      </c>
      <c r="BM8" s="3" t="s">
        <v>76</v>
      </c>
      <c r="BN8" s="3" t="s">
        <v>88</v>
      </c>
      <c r="BO8" s="3" t="s">
        <v>89</v>
      </c>
      <c r="BP8" s="3" t="s">
        <v>76</v>
      </c>
      <c r="BQ8" s="3" t="s">
        <v>112</v>
      </c>
      <c r="BR8" s="3" t="s">
        <v>90</v>
      </c>
      <c r="BS8" s="3" t="s">
        <v>113</v>
      </c>
      <c r="BT8" s="3" t="s">
        <v>90</v>
      </c>
      <c r="BU8" s="3" t="s">
        <v>114</v>
      </c>
      <c r="BV8" s="3" t="s">
        <v>90</v>
      </c>
      <c r="BW8" s="3" t="s">
        <v>114</v>
      </c>
      <c r="BX8" s="5">
        <f t="shared" si="0"/>
        <v>7</v>
      </c>
      <c r="BY8" t="str">
        <f>Form_Responses[[#This Row],[Aquí ponga su nombre y apellido]]</f>
        <v xml:space="preserve">Ciro </v>
      </c>
    </row>
    <row r="9" spans="1:77" ht="22.5" customHeight="1" x14ac:dyDescent="0.2">
      <c r="A9" s="2">
        <v>46183.849688240742</v>
      </c>
      <c r="B9" s="3" t="s">
        <v>123</v>
      </c>
      <c r="C9" s="3" t="s">
        <v>138</v>
      </c>
      <c r="D9" s="3" t="s">
        <v>77</v>
      </c>
      <c r="E9" s="3" t="s">
        <v>92</v>
      </c>
      <c r="F9" s="3" t="s">
        <v>94</v>
      </c>
      <c r="G9" s="3" t="s">
        <v>76</v>
      </c>
      <c r="H9" s="3" t="s">
        <v>94</v>
      </c>
      <c r="I9" s="3" t="s">
        <v>115</v>
      </c>
      <c r="J9" s="3" t="s">
        <v>95</v>
      </c>
      <c r="K9" s="3" t="s">
        <v>96</v>
      </c>
      <c r="L9" s="3" t="s">
        <v>96</v>
      </c>
      <c r="M9" s="3" t="s">
        <v>95</v>
      </c>
      <c r="N9" s="3" t="s">
        <v>76</v>
      </c>
      <c r="O9" s="3" t="s">
        <v>118</v>
      </c>
      <c r="P9" s="3" t="s">
        <v>76</v>
      </c>
      <c r="Q9" s="3" t="s">
        <v>99</v>
      </c>
      <c r="R9" s="3" t="s">
        <v>98</v>
      </c>
      <c r="S9" s="3" t="s">
        <v>78</v>
      </c>
      <c r="T9" s="3" t="s">
        <v>78</v>
      </c>
      <c r="U9" s="3" t="s">
        <v>98</v>
      </c>
      <c r="V9" s="3" t="s">
        <v>101</v>
      </c>
      <c r="W9" s="3" t="s">
        <v>116</v>
      </c>
      <c r="X9" s="3" t="s">
        <v>101</v>
      </c>
      <c r="Y9" s="3" t="s">
        <v>79</v>
      </c>
      <c r="Z9" s="3" t="s">
        <v>101</v>
      </c>
      <c r="AA9" s="3" t="s">
        <v>79</v>
      </c>
      <c r="AB9" s="3" t="s">
        <v>80</v>
      </c>
      <c r="AC9" s="3" t="s">
        <v>81</v>
      </c>
      <c r="AD9" s="3" t="s">
        <v>80</v>
      </c>
      <c r="AE9" s="3" t="s">
        <v>81</v>
      </c>
      <c r="AF9" s="3" t="s">
        <v>102</v>
      </c>
      <c r="AG9" s="3" t="s">
        <v>81</v>
      </c>
      <c r="AH9" s="3" t="s">
        <v>119</v>
      </c>
      <c r="AI9" s="3" t="s">
        <v>76</v>
      </c>
      <c r="AJ9" s="3" t="s">
        <v>82</v>
      </c>
      <c r="AK9" s="3" t="s">
        <v>104</v>
      </c>
      <c r="AL9" s="3" t="s">
        <v>76</v>
      </c>
      <c r="AM9" s="3" t="s">
        <v>82</v>
      </c>
      <c r="AN9" s="3" t="s">
        <v>83</v>
      </c>
      <c r="AO9" s="3" t="s">
        <v>122</v>
      </c>
      <c r="AP9" s="3" t="s">
        <v>83</v>
      </c>
      <c r="AQ9" s="3" t="s">
        <v>106</v>
      </c>
      <c r="AR9" s="3" t="s">
        <v>106</v>
      </c>
      <c r="AS9" s="3" t="s">
        <v>76</v>
      </c>
      <c r="AT9" s="3" t="s">
        <v>107</v>
      </c>
      <c r="AU9" s="3" t="s">
        <v>84</v>
      </c>
      <c r="AV9" s="3" t="s">
        <v>107</v>
      </c>
      <c r="AW9" s="3" t="s">
        <v>84</v>
      </c>
      <c r="AX9" s="3" t="s">
        <v>108</v>
      </c>
      <c r="AY9" s="3" t="s">
        <v>76</v>
      </c>
      <c r="AZ9" s="3" t="s">
        <v>85</v>
      </c>
      <c r="BA9" s="3" t="s">
        <v>109</v>
      </c>
      <c r="BB9" s="3" t="s">
        <v>85</v>
      </c>
      <c r="BC9" s="3" t="s">
        <v>86</v>
      </c>
      <c r="BD9" s="3" t="s">
        <v>76</v>
      </c>
      <c r="BE9" s="3" t="s">
        <v>86</v>
      </c>
      <c r="BF9" s="3" t="s">
        <v>87</v>
      </c>
      <c r="BG9" s="3" t="s">
        <v>110</v>
      </c>
      <c r="BH9" s="3" t="s">
        <v>87</v>
      </c>
      <c r="BI9" s="3" t="s">
        <v>76</v>
      </c>
      <c r="BJ9" s="3" t="s">
        <v>76</v>
      </c>
      <c r="BK9" s="3" t="s">
        <v>87</v>
      </c>
      <c r="BL9" s="3" t="s">
        <v>88</v>
      </c>
      <c r="BM9" s="3" t="s">
        <v>89</v>
      </c>
      <c r="BN9" s="3" t="s">
        <v>88</v>
      </c>
      <c r="BO9" s="3" t="s">
        <v>89</v>
      </c>
      <c r="BP9" s="3" t="s">
        <v>89</v>
      </c>
      <c r="BQ9" s="3" t="s">
        <v>124</v>
      </c>
      <c r="BR9" s="3" t="s">
        <v>114</v>
      </c>
      <c r="BS9" s="3" t="s">
        <v>91</v>
      </c>
      <c r="BT9" s="3" t="s">
        <v>90</v>
      </c>
      <c r="BU9" s="3" t="s">
        <v>114</v>
      </c>
      <c r="BV9" s="3" t="s">
        <v>90</v>
      </c>
      <c r="BW9" s="3" t="s">
        <v>114</v>
      </c>
      <c r="BX9" s="5">
        <f t="shared" si="0"/>
        <v>6</v>
      </c>
      <c r="BY9" t="str">
        <f>Form_Responses[[#This Row],[Aquí ponga su nombre y apellido]]</f>
        <v>Coco</v>
      </c>
    </row>
    <row r="10" spans="1:77" ht="22.5" customHeight="1" x14ac:dyDescent="0.2">
      <c r="A10" s="2">
        <v>46183.852827175928</v>
      </c>
      <c r="B10" s="3" t="s">
        <v>123</v>
      </c>
      <c r="C10" s="3" t="s">
        <v>139</v>
      </c>
      <c r="D10" s="3" t="s">
        <v>77</v>
      </c>
      <c r="E10" s="3" t="s">
        <v>92</v>
      </c>
      <c r="F10" s="3" t="s">
        <v>93</v>
      </c>
      <c r="G10" s="3" t="s">
        <v>77</v>
      </c>
      <c r="H10" s="3" t="s">
        <v>92</v>
      </c>
      <c r="I10" s="3" t="s">
        <v>115</v>
      </c>
      <c r="J10" s="3" t="s">
        <v>95</v>
      </c>
      <c r="K10" s="3" t="s">
        <v>96</v>
      </c>
      <c r="L10" s="3" t="s">
        <v>96</v>
      </c>
      <c r="M10" s="3" t="s">
        <v>95</v>
      </c>
      <c r="N10" s="3" t="s">
        <v>96</v>
      </c>
      <c r="O10" s="3" t="s">
        <v>118</v>
      </c>
      <c r="P10" s="3" t="s">
        <v>98</v>
      </c>
      <c r="Q10" s="3" t="s">
        <v>99</v>
      </c>
      <c r="R10" s="3" t="s">
        <v>98</v>
      </c>
      <c r="S10" s="3" t="s">
        <v>78</v>
      </c>
      <c r="T10" s="3" t="s">
        <v>78</v>
      </c>
      <c r="U10" s="3" t="s">
        <v>98</v>
      </c>
      <c r="V10" s="3" t="s">
        <v>79</v>
      </c>
      <c r="W10" s="3" t="s">
        <v>116</v>
      </c>
      <c r="X10" s="3" t="s">
        <v>101</v>
      </c>
      <c r="Y10" s="3" t="s">
        <v>79</v>
      </c>
      <c r="Z10" s="3" t="s">
        <v>116</v>
      </c>
      <c r="AA10" s="3" t="s">
        <v>79</v>
      </c>
      <c r="AB10" s="3" t="s">
        <v>80</v>
      </c>
      <c r="AC10" s="3" t="s">
        <v>81</v>
      </c>
      <c r="AD10" s="3" t="s">
        <v>80</v>
      </c>
      <c r="AE10" s="3" t="s">
        <v>81</v>
      </c>
      <c r="AF10" s="3" t="s">
        <v>102</v>
      </c>
      <c r="AG10" s="3" t="s">
        <v>81</v>
      </c>
      <c r="AH10" s="3" t="s">
        <v>82</v>
      </c>
      <c r="AI10" s="3" t="s">
        <v>103</v>
      </c>
      <c r="AJ10" s="3" t="s">
        <v>82</v>
      </c>
      <c r="AK10" s="3" t="s">
        <v>104</v>
      </c>
      <c r="AL10" s="3" t="s">
        <v>104</v>
      </c>
      <c r="AM10" s="3" t="s">
        <v>82</v>
      </c>
      <c r="AN10" s="3" t="s">
        <v>83</v>
      </c>
      <c r="AO10" s="3" t="s">
        <v>105</v>
      </c>
      <c r="AP10" s="3" t="s">
        <v>83</v>
      </c>
      <c r="AQ10" s="3" t="s">
        <v>106</v>
      </c>
      <c r="AR10" s="3" t="s">
        <v>106</v>
      </c>
      <c r="AS10" s="3" t="s">
        <v>83</v>
      </c>
      <c r="AT10" s="3" t="s">
        <v>107</v>
      </c>
      <c r="AU10" s="3" t="s">
        <v>84</v>
      </c>
      <c r="AV10" s="3" t="s">
        <v>107</v>
      </c>
      <c r="AW10" s="3" t="s">
        <v>84</v>
      </c>
      <c r="AX10" s="3" t="s">
        <v>120</v>
      </c>
      <c r="AY10" s="3" t="s">
        <v>107</v>
      </c>
      <c r="AZ10" s="3" t="s">
        <v>85</v>
      </c>
      <c r="BA10" s="3" t="s">
        <v>109</v>
      </c>
      <c r="BB10" s="3" t="s">
        <v>85</v>
      </c>
      <c r="BC10" s="3" t="s">
        <v>109</v>
      </c>
      <c r="BD10" s="3" t="s">
        <v>85</v>
      </c>
      <c r="BE10" s="3" t="s">
        <v>86</v>
      </c>
      <c r="BF10" s="3" t="s">
        <v>87</v>
      </c>
      <c r="BG10" s="3" t="s">
        <v>110</v>
      </c>
      <c r="BH10" s="3" t="s">
        <v>87</v>
      </c>
      <c r="BI10" s="3" t="s">
        <v>111</v>
      </c>
      <c r="BJ10" s="3" t="s">
        <v>110</v>
      </c>
      <c r="BK10" s="3" t="s">
        <v>87</v>
      </c>
      <c r="BL10" s="3" t="s">
        <v>88</v>
      </c>
      <c r="BM10" s="3" t="s">
        <v>89</v>
      </c>
      <c r="BN10" s="3" t="s">
        <v>88</v>
      </c>
      <c r="BO10" s="3" t="s">
        <v>89</v>
      </c>
      <c r="BP10" s="3" t="s">
        <v>88</v>
      </c>
      <c r="BQ10" s="3" t="s">
        <v>124</v>
      </c>
      <c r="BR10" s="3" t="s">
        <v>90</v>
      </c>
      <c r="BS10" s="3" t="s">
        <v>113</v>
      </c>
      <c r="BT10" s="3" t="s">
        <v>90</v>
      </c>
      <c r="BU10" s="3" t="s">
        <v>114</v>
      </c>
      <c r="BV10" s="3" t="s">
        <v>90</v>
      </c>
      <c r="BW10" s="3" t="s">
        <v>114</v>
      </c>
      <c r="BX10" s="5">
        <f t="shared" si="0"/>
        <v>5</v>
      </c>
      <c r="BY10" t="str">
        <f>Form_Responses[[#This Row],[Aquí ponga su nombre y apellido]]</f>
        <v>Dante</v>
      </c>
    </row>
    <row r="11" spans="1:77" ht="22.5" customHeight="1" x14ac:dyDescent="0.2">
      <c r="A11" s="2">
        <v>46183.855882592594</v>
      </c>
      <c r="B11" s="3" t="s">
        <v>123</v>
      </c>
      <c r="C11" s="3" t="s">
        <v>140</v>
      </c>
      <c r="D11" s="3" t="s">
        <v>77</v>
      </c>
      <c r="E11" s="3" t="s">
        <v>76</v>
      </c>
      <c r="F11" s="3" t="s">
        <v>93</v>
      </c>
      <c r="G11" s="3" t="s">
        <v>77</v>
      </c>
      <c r="H11" s="3" t="s">
        <v>92</v>
      </c>
      <c r="I11" s="3" t="s">
        <v>76</v>
      </c>
      <c r="J11" s="3" t="s">
        <v>95</v>
      </c>
      <c r="K11" s="3" t="s">
        <v>96</v>
      </c>
      <c r="L11" s="3" t="s">
        <v>96</v>
      </c>
      <c r="M11" s="3" t="s">
        <v>95</v>
      </c>
      <c r="N11" s="3" t="s">
        <v>76</v>
      </c>
      <c r="O11" s="3" t="s">
        <v>97</v>
      </c>
      <c r="P11" s="3" t="s">
        <v>76</v>
      </c>
      <c r="Q11" s="3" t="s">
        <v>99</v>
      </c>
      <c r="R11" s="3" t="s">
        <v>98</v>
      </c>
      <c r="S11" s="3" t="s">
        <v>78</v>
      </c>
      <c r="T11" s="3" t="s">
        <v>78</v>
      </c>
      <c r="U11" s="3" t="s">
        <v>98</v>
      </c>
      <c r="V11" s="3" t="s">
        <v>76</v>
      </c>
      <c r="W11" s="3" t="s">
        <v>116</v>
      </c>
      <c r="X11" s="3" t="s">
        <v>101</v>
      </c>
      <c r="Y11" s="3" t="s">
        <v>79</v>
      </c>
      <c r="Z11" s="3" t="s">
        <v>101</v>
      </c>
      <c r="AA11" s="3" t="s">
        <v>79</v>
      </c>
      <c r="AB11" s="3" t="s">
        <v>80</v>
      </c>
      <c r="AC11" s="3" t="s">
        <v>102</v>
      </c>
      <c r="AD11" s="3" t="s">
        <v>76</v>
      </c>
      <c r="AE11" s="3" t="s">
        <v>81</v>
      </c>
      <c r="AF11" s="3" t="s">
        <v>102</v>
      </c>
      <c r="AG11" s="3" t="s">
        <v>80</v>
      </c>
      <c r="AH11" s="3" t="s">
        <v>82</v>
      </c>
      <c r="AI11" s="3" t="s">
        <v>125</v>
      </c>
      <c r="AJ11" s="3" t="s">
        <v>82</v>
      </c>
      <c r="AK11" s="3" t="s">
        <v>76</v>
      </c>
      <c r="AL11" s="3" t="s">
        <v>104</v>
      </c>
      <c r="AM11" s="3" t="s">
        <v>125</v>
      </c>
      <c r="AN11" s="3" t="s">
        <v>106</v>
      </c>
      <c r="AO11" s="3" t="s">
        <v>105</v>
      </c>
      <c r="AP11" s="3" t="s">
        <v>83</v>
      </c>
      <c r="AQ11" s="3" t="s">
        <v>106</v>
      </c>
      <c r="AR11" s="3" t="s">
        <v>76</v>
      </c>
      <c r="AS11" s="3" t="s">
        <v>83</v>
      </c>
      <c r="AT11" s="3" t="s">
        <v>107</v>
      </c>
      <c r="AU11" s="3" t="s">
        <v>84</v>
      </c>
      <c r="AV11" s="3" t="s">
        <v>107</v>
      </c>
      <c r="AW11" s="3" t="s">
        <v>84</v>
      </c>
      <c r="AX11" s="3" t="s">
        <v>120</v>
      </c>
      <c r="AY11" s="3" t="s">
        <v>107</v>
      </c>
      <c r="AZ11" s="3" t="s">
        <v>85</v>
      </c>
      <c r="BA11" s="3" t="s">
        <v>76</v>
      </c>
      <c r="BB11" s="3" t="s">
        <v>85</v>
      </c>
      <c r="BC11" s="3" t="s">
        <v>86</v>
      </c>
      <c r="BD11" s="3" t="s">
        <v>109</v>
      </c>
      <c r="BE11" s="3" t="s">
        <v>86</v>
      </c>
      <c r="BF11" s="3" t="s">
        <v>87</v>
      </c>
      <c r="BG11" s="3" t="s">
        <v>110</v>
      </c>
      <c r="BH11" s="3" t="s">
        <v>87</v>
      </c>
      <c r="BI11" s="3" t="s">
        <v>111</v>
      </c>
      <c r="BJ11" s="3" t="s">
        <v>76</v>
      </c>
      <c r="BK11" s="3" t="s">
        <v>87</v>
      </c>
      <c r="BL11" s="3" t="s">
        <v>88</v>
      </c>
      <c r="BM11" s="3" t="s">
        <v>89</v>
      </c>
      <c r="BN11" s="3" t="s">
        <v>88</v>
      </c>
      <c r="BO11" s="3" t="s">
        <v>89</v>
      </c>
      <c r="BP11" s="3" t="s">
        <v>76</v>
      </c>
      <c r="BQ11" s="3" t="s">
        <v>124</v>
      </c>
      <c r="BR11" s="3" t="s">
        <v>76</v>
      </c>
      <c r="BS11" s="3" t="s">
        <v>113</v>
      </c>
      <c r="BT11" s="3" t="s">
        <v>113</v>
      </c>
      <c r="BU11" s="3" t="s">
        <v>114</v>
      </c>
      <c r="BV11" s="3" t="s">
        <v>90</v>
      </c>
      <c r="BW11" s="3" t="s">
        <v>114</v>
      </c>
      <c r="BX11" s="5">
        <f t="shared" si="0"/>
        <v>5</v>
      </c>
      <c r="BY11" t="str">
        <f>Form_Responses[[#This Row],[Aquí ponga su nombre y apellido]]</f>
        <v>Hernan</v>
      </c>
    </row>
    <row r="12" spans="1:77" ht="22.5" customHeight="1" x14ac:dyDescent="0.2">
      <c r="A12" s="2">
        <v>46183.86724699074</v>
      </c>
      <c r="B12" s="3" t="s">
        <v>126</v>
      </c>
      <c r="C12" s="3" t="s">
        <v>141</v>
      </c>
      <c r="D12" s="3" t="s">
        <v>76</v>
      </c>
      <c r="E12" s="3" t="s">
        <v>92</v>
      </c>
      <c r="F12" s="3" t="s">
        <v>94</v>
      </c>
      <c r="G12" s="3" t="s">
        <v>77</v>
      </c>
      <c r="H12" s="3" t="s">
        <v>92</v>
      </c>
      <c r="I12" s="3" t="s">
        <v>76</v>
      </c>
      <c r="J12" s="3" t="s">
        <v>95</v>
      </c>
      <c r="K12" s="3" t="s">
        <v>96</v>
      </c>
      <c r="L12" s="3" t="s">
        <v>76</v>
      </c>
      <c r="M12" s="3" t="s">
        <v>76</v>
      </c>
      <c r="N12" s="3" t="s">
        <v>96</v>
      </c>
      <c r="O12" s="3" t="s">
        <v>118</v>
      </c>
      <c r="P12" s="3" t="s">
        <v>78</v>
      </c>
      <c r="Q12" s="3" t="s">
        <v>99</v>
      </c>
      <c r="R12" s="3" t="s">
        <v>98</v>
      </c>
      <c r="S12" s="3" t="s">
        <v>78</v>
      </c>
      <c r="T12" s="3" t="s">
        <v>78</v>
      </c>
      <c r="U12" s="3" t="s">
        <v>98</v>
      </c>
      <c r="V12" s="3" t="s">
        <v>76</v>
      </c>
      <c r="W12" s="3" t="s">
        <v>100</v>
      </c>
      <c r="X12" s="3" t="s">
        <v>101</v>
      </c>
      <c r="Y12" s="3" t="s">
        <v>79</v>
      </c>
      <c r="Z12" s="3" t="s">
        <v>76</v>
      </c>
      <c r="AA12" s="3" t="s">
        <v>100</v>
      </c>
      <c r="AB12" s="3" t="s">
        <v>80</v>
      </c>
      <c r="AC12" s="3" t="s">
        <v>76</v>
      </c>
      <c r="AD12" s="3" t="s">
        <v>80</v>
      </c>
      <c r="AE12" s="3" t="s">
        <v>81</v>
      </c>
      <c r="AF12" s="3" t="s">
        <v>102</v>
      </c>
      <c r="AG12" s="3" t="s">
        <v>81</v>
      </c>
      <c r="AH12" s="3" t="s">
        <v>82</v>
      </c>
      <c r="AI12" s="3" t="s">
        <v>103</v>
      </c>
      <c r="AJ12" s="3" t="s">
        <v>82</v>
      </c>
      <c r="AK12" s="3" t="s">
        <v>104</v>
      </c>
      <c r="AL12" s="3" t="s">
        <v>104</v>
      </c>
      <c r="AM12" s="3" t="s">
        <v>82</v>
      </c>
      <c r="AN12" s="3" t="s">
        <v>83</v>
      </c>
      <c r="AO12" s="3" t="s">
        <v>76</v>
      </c>
      <c r="AP12" s="3" t="s">
        <v>83</v>
      </c>
      <c r="AQ12" s="3" t="s">
        <v>106</v>
      </c>
      <c r="AR12" s="3" t="s">
        <v>106</v>
      </c>
      <c r="AS12" s="3" t="s">
        <v>83</v>
      </c>
      <c r="AT12" s="3" t="s">
        <v>107</v>
      </c>
      <c r="AU12" s="3" t="s">
        <v>76</v>
      </c>
      <c r="AV12" s="3" t="s">
        <v>107</v>
      </c>
      <c r="AW12" s="3" t="s">
        <v>84</v>
      </c>
      <c r="AX12" s="3" t="s">
        <v>120</v>
      </c>
      <c r="AY12" s="3" t="s">
        <v>76</v>
      </c>
      <c r="AZ12" s="3" t="s">
        <v>85</v>
      </c>
      <c r="BA12" s="3" t="s">
        <v>109</v>
      </c>
      <c r="BB12" s="3" t="s">
        <v>85</v>
      </c>
      <c r="BC12" s="3" t="s">
        <v>76</v>
      </c>
      <c r="BD12" s="3" t="s">
        <v>85</v>
      </c>
      <c r="BE12" s="3" t="s">
        <v>86</v>
      </c>
      <c r="BF12" s="3" t="s">
        <v>87</v>
      </c>
      <c r="BG12" s="3" t="s">
        <v>110</v>
      </c>
      <c r="BH12" s="3" t="s">
        <v>87</v>
      </c>
      <c r="BI12" s="3" t="s">
        <v>76</v>
      </c>
      <c r="BJ12" s="3" t="s">
        <v>110</v>
      </c>
      <c r="BK12" s="3" t="s">
        <v>87</v>
      </c>
      <c r="BL12" s="3" t="s">
        <v>88</v>
      </c>
      <c r="BM12" s="3" t="s">
        <v>89</v>
      </c>
      <c r="BN12" s="3" t="s">
        <v>88</v>
      </c>
      <c r="BO12" s="3" t="s">
        <v>76</v>
      </c>
      <c r="BP12" s="3" t="s">
        <v>88</v>
      </c>
      <c r="BQ12" s="3" t="s">
        <v>76</v>
      </c>
      <c r="BR12" s="3" t="s">
        <v>90</v>
      </c>
      <c r="BS12" s="3" t="s">
        <v>91</v>
      </c>
      <c r="BT12" s="3" t="s">
        <v>90</v>
      </c>
      <c r="BU12" s="3" t="s">
        <v>114</v>
      </c>
      <c r="BV12" s="3" t="s">
        <v>76</v>
      </c>
      <c r="BW12" s="3" t="s">
        <v>114</v>
      </c>
      <c r="BX12" s="5">
        <f t="shared" si="0"/>
        <v>5</v>
      </c>
      <c r="BY12" t="str">
        <f>Form_Responses[[#This Row],[Aquí ponga su nombre y apellido]]</f>
        <v xml:space="preserve">Luciano  </v>
      </c>
    </row>
    <row r="13" spans="1:77" ht="22.5" customHeight="1" x14ac:dyDescent="0.2">
      <c r="A13" s="2">
        <v>46183.880296990741</v>
      </c>
      <c r="B13" s="3" t="s">
        <v>75</v>
      </c>
      <c r="C13" s="3" t="s">
        <v>142</v>
      </c>
      <c r="D13" s="3" t="s">
        <v>76</v>
      </c>
      <c r="E13" s="3" t="s">
        <v>92</v>
      </c>
      <c r="F13" s="3" t="s">
        <v>94</v>
      </c>
      <c r="G13" s="3" t="s">
        <v>92</v>
      </c>
      <c r="H13" s="3" t="s">
        <v>94</v>
      </c>
      <c r="I13" s="3" t="s">
        <v>115</v>
      </c>
      <c r="J13" s="3" t="s">
        <v>95</v>
      </c>
      <c r="K13" s="3" t="s">
        <v>97</v>
      </c>
      <c r="L13" s="3" t="s">
        <v>118</v>
      </c>
      <c r="M13" s="3" t="s">
        <v>76</v>
      </c>
      <c r="N13" s="3" t="s">
        <v>95</v>
      </c>
      <c r="O13" s="3" t="s">
        <v>118</v>
      </c>
      <c r="P13" s="3" t="s">
        <v>76</v>
      </c>
      <c r="Q13" s="3" t="s">
        <v>99</v>
      </c>
      <c r="R13" s="3" t="s">
        <v>98</v>
      </c>
      <c r="S13" s="3" t="s">
        <v>78</v>
      </c>
      <c r="T13" s="3" t="s">
        <v>78</v>
      </c>
      <c r="U13" s="3" t="s">
        <v>98</v>
      </c>
      <c r="V13" s="3" t="s">
        <v>79</v>
      </c>
      <c r="W13" s="3" t="s">
        <v>116</v>
      </c>
      <c r="X13" s="3" t="s">
        <v>101</v>
      </c>
      <c r="Y13" s="3" t="s">
        <v>76</v>
      </c>
      <c r="Z13" s="3" t="s">
        <v>116</v>
      </c>
      <c r="AA13" s="3" t="s">
        <v>79</v>
      </c>
      <c r="AB13" s="3" t="s">
        <v>80</v>
      </c>
      <c r="AC13" s="3" t="s">
        <v>81</v>
      </c>
      <c r="AD13" s="3" t="s">
        <v>80</v>
      </c>
      <c r="AE13" s="3" t="s">
        <v>81</v>
      </c>
      <c r="AF13" s="3" t="s">
        <v>102</v>
      </c>
      <c r="AG13" s="3" t="s">
        <v>76</v>
      </c>
      <c r="AH13" s="3" t="s">
        <v>119</v>
      </c>
      <c r="AI13" s="3" t="s">
        <v>125</v>
      </c>
      <c r="AJ13" s="3" t="s">
        <v>82</v>
      </c>
      <c r="AK13" s="3" t="s">
        <v>76</v>
      </c>
      <c r="AL13" s="3" t="s">
        <v>104</v>
      </c>
      <c r="AM13" s="3" t="s">
        <v>82</v>
      </c>
      <c r="AN13" s="3" t="s">
        <v>83</v>
      </c>
      <c r="AO13" s="3" t="s">
        <v>122</v>
      </c>
      <c r="AP13" s="3" t="s">
        <v>83</v>
      </c>
      <c r="AQ13" s="3" t="s">
        <v>76</v>
      </c>
      <c r="AR13" s="3" t="s">
        <v>106</v>
      </c>
      <c r="AS13" s="3" t="s">
        <v>83</v>
      </c>
      <c r="AT13" s="3" t="s">
        <v>107</v>
      </c>
      <c r="AU13" s="3" t="s">
        <v>76</v>
      </c>
      <c r="AV13" s="3" t="s">
        <v>107</v>
      </c>
      <c r="AW13" s="3" t="s">
        <v>84</v>
      </c>
      <c r="AX13" s="3" t="s">
        <v>108</v>
      </c>
      <c r="AY13" s="3" t="s">
        <v>84</v>
      </c>
      <c r="AZ13" s="3" t="s">
        <v>85</v>
      </c>
      <c r="BA13" s="3" t="s">
        <v>109</v>
      </c>
      <c r="BB13" s="3" t="s">
        <v>85</v>
      </c>
      <c r="BC13" s="3" t="s">
        <v>76</v>
      </c>
      <c r="BD13" s="3" t="s">
        <v>76</v>
      </c>
      <c r="BE13" s="3" t="s">
        <v>86</v>
      </c>
      <c r="BF13" s="3" t="s">
        <v>87</v>
      </c>
      <c r="BG13" s="3" t="s">
        <v>76</v>
      </c>
      <c r="BH13" s="3" t="s">
        <v>87</v>
      </c>
      <c r="BI13" s="3" t="s">
        <v>111</v>
      </c>
      <c r="BJ13" s="3" t="s">
        <v>111</v>
      </c>
      <c r="BK13" s="3" t="s">
        <v>87</v>
      </c>
      <c r="BL13" s="3" t="s">
        <v>88</v>
      </c>
      <c r="BM13" s="3" t="s">
        <v>89</v>
      </c>
      <c r="BN13" s="3" t="s">
        <v>88</v>
      </c>
      <c r="BO13" s="3" t="s">
        <v>89</v>
      </c>
      <c r="BP13" s="3" t="s">
        <v>88</v>
      </c>
      <c r="BQ13" s="3" t="s">
        <v>124</v>
      </c>
      <c r="BR13" s="3" t="s">
        <v>76</v>
      </c>
      <c r="BS13" s="3" t="s">
        <v>113</v>
      </c>
      <c r="BT13" s="3" t="s">
        <v>90</v>
      </c>
      <c r="BU13" s="3" t="s">
        <v>114</v>
      </c>
      <c r="BV13" s="3" t="s">
        <v>90</v>
      </c>
      <c r="BW13" s="3" t="s">
        <v>76</v>
      </c>
      <c r="BX13" s="5">
        <f t="shared" si="0"/>
        <v>4</v>
      </c>
      <c r="BY13" t="str">
        <f>Form_Responses[[#This Row],[Aquí ponga su nombre y apellido]]</f>
        <v xml:space="preserve">Gabriela  </v>
      </c>
    </row>
    <row r="14" spans="1:77" ht="22.5" customHeight="1" x14ac:dyDescent="0.2">
      <c r="A14" s="2">
        <v>46183.890718622686</v>
      </c>
      <c r="B14" s="3" t="s">
        <v>75</v>
      </c>
      <c r="C14" s="3" t="s">
        <v>143</v>
      </c>
      <c r="D14" s="3" t="s">
        <v>76</v>
      </c>
      <c r="E14" s="3" t="s">
        <v>76</v>
      </c>
      <c r="F14" s="3" t="s">
        <v>94</v>
      </c>
      <c r="G14" s="3" t="s">
        <v>77</v>
      </c>
      <c r="H14" s="3" t="s">
        <v>94</v>
      </c>
      <c r="I14" s="3" t="s">
        <v>115</v>
      </c>
      <c r="J14" s="3" t="s">
        <v>118</v>
      </c>
      <c r="K14" s="3" t="s">
        <v>96</v>
      </c>
      <c r="L14" s="3" t="s">
        <v>96</v>
      </c>
      <c r="M14" s="3" t="s">
        <v>97</v>
      </c>
      <c r="N14" s="3" t="s">
        <v>96</v>
      </c>
      <c r="O14" s="3" t="s">
        <v>118</v>
      </c>
      <c r="P14" s="3" t="s">
        <v>78</v>
      </c>
      <c r="Q14" s="3" t="s">
        <v>76</v>
      </c>
      <c r="R14" s="3" t="s">
        <v>98</v>
      </c>
      <c r="S14" s="3" t="s">
        <v>78</v>
      </c>
      <c r="T14" s="3" t="s">
        <v>78</v>
      </c>
      <c r="U14" s="3" t="s">
        <v>98</v>
      </c>
      <c r="V14" s="3" t="s">
        <v>76</v>
      </c>
      <c r="W14" s="3" t="s">
        <v>76</v>
      </c>
      <c r="X14" s="3" t="s">
        <v>101</v>
      </c>
      <c r="Y14" s="3" t="s">
        <v>79</v>
      </c>
      <c r="Z14" s="3" t="s">
        <v>101</v>
      </c>
      <c r="AA14" s="3" t="s">
        <v>76</v>
      </c>
      <c r="AB14" s="3" t="s">
        <v>80</v>
      </c>
      <c r="AC14" s="3" t="s">
        <v>76</v>
      </c>
      <c r="AD14" s="3" t="s">
        <v>76</v>
      </c>
      <c r="AE14" s="3" t="s">
        <v>81</v>
      </c>
      <c r="AF14" s="3" t="s">
        <v>102</v>
      </c>
      <c r="AG14" s="3" t="s">
        <v>81</v>
      </c>
      <c r="AH14" s="3" t="s">
        <v>119</v>
      </c>
      <c r="AI14" s="3" t="s">
        <v>76</v>
      </c>
      <c r="AJ14" s="3" t="s">
        <v>82</v>
      </c>
      <c r="AK14" s="3" t="s">
        <v>104</v>
      </c>
      <c r="AL14" s="3" t="s">
        <v>104</v>
      </c>
      <c r="AM14" s="3" t="s">
        <v>82</v>
      </c>
      <c r="AN14" s="3" t="s">
        <v>83</v>
      </c>
      <c r="AO14" s="3" t="s">
        <v>105</v>
      </c>
      <c r="AP14" s="3" t="s">
        <v>76</v>
      </c>
      <c r="AQ14" s="3" t="s">
        <v>106</v>
      </c>
      <c r="AR14" s="3" t="s">
        <v>76</v>
      </c>
      <c r="AS14" s="3" t="s">
        <v>83</v>
      </c>
      <c r="AT14" s="3" t="s">
        <v>107</v>
      </c>
      <c r="AU14" s="3" t="s">
        <v>84</v>
      </c>
      <c r="AV14" s="3" t="s">
        <v>107</v>
      </c>
      <c r="AW14" s="3" t="s">
        <v>84</v>
      </c>
      <c r="AX14" s="3" t="s">
        <v>120</v>
      </c>
      <c r="AY14" s="3" t="s">
        <v>107</v>
      </c>
      <c r="AZ14" s="3" t="s">
        <v>85</v>
      </c>
      <c r="BA14" s="3" t="s">
        <v>109</v>
      </c>
      <c r="BB14" s="3" t="s">
        <v>85</v>
      </c>
      <c r="BC14" s="3" t="s">
        <v>86</v>
      </c>
      <c r="BD14" s="3" t="s">
        <v>85</v>
      </c>
      <c r="BE14" s="3" t="s">
        <v>86</v>
      </c>
      <c r="BF14" s="3" t="s">
        <v>87</v>
      </c>
      <c r="BG14" s="3" t="s">
        <v>110</v>
      </c>
      <c r="BH14" s="3" t="s">
        <v>87</v>
      </c>
      <c r="BI14" s="3" t="s">
        <v>111</v>
      </c>
      <c r="BJ14" s="3" t="s">
        <v>76</v>
      </c>
      <c r="BK14" s="3" t="s">
        <v>87</v>
      </c>
      <c r="BL14" s="3" t="s">
        <v>88</v>
      </c>
      <c r="BM14" s="3" t="s">
        <v>89</v>
      </c>
      <c r="BN14" s="3" t="s">
        <v>88</v>
      </c>
      <c r="BO14" s="3" t="s">
        <v>89</v>
      </c>
      <c r="BP14" s="3" t="s">
        <v>76</v>
      </c>
      <c r="BQ14" s="3" t="s">
        <v>124</v>
      </c>
      <c r="BR14" s="3" t="s">
        <v>76</v>
      </c>
      <c r="BS14" s="3" t="s">
        <v>113</v>
      </c>
      <c r="BT14" s="3" t="s">
        <v>76</v>
      </c>
      <c r="BU14" s="3" t="s">
        <v>114</v>
      </c>
      <c r="BV14" s="3" t="s">
        <v>90</v>
      </c>
      <c r="BW14" s="3" t="s">
        <v>76</v>
      </c>
      <c r="BX14" s="5">
        <f t="shared" si="0"/>
        <v>1</v>
      </c>
      <c r="BY14" t="str">
        <f>Form_Responses[[#This Row],[Aquí ponga su nombre y apellido]]</f>
        <v xml:space="preserve">Ernesto </v>
      </c>
    </row>
    <row r="15" spans="1:77" ht="15.75" customHeight="1" x14ac:dyDescent="0.2">
      <c r="A15" s="6">
        <v>46186.93277777778</v>
      </c>
      <c r="C15" t="s">
        <v>130</v>
      </c>
      <c r="D15" t="s">
        <v>77</v>
      </c>
      <c r="E15" t="s">
        <v>76</v>
      </c>
      <c r="F15" t="s">
        <v>94</v>
      </c>
      <c r="G15" t="s">
        <v>92</v>
      </c>
      <c r="H15" t="s">
        <v>76</v>
      </c>
      <c r="I15" t="s">
        <v>115</v>
      </c>
      <c r="J15" t="s">
        <v>76</v>
      </c>
      <c r="K15" t="s">
        <v>96</v>
      </c>
      <c r="L15" t="s">
        <v>96</v>
      </c>
      <c r="M15" t="s">
        <v>95</v>
      </c>
      <c r="N15" t="s">
        <v>96</v>
      </c>
      <c r="O15" t="s">
        <v>118</v>
      </c>
      <c r="P15" t="s">
        <v>78</v>
      </c>
      <c r="Q15" t="s">
        <v>99</v>
      </c>
      <c r="R15" t="s">
        <v>76</v>
      </c>
      <c r="S15" t="s">
        <v>78</v>
      </c>
      <c r="T15" t="s">
        <v>78</v>
      </c>
      <c r="U15" t="s">
        <v>98</v>
      </c>
      <c r="V15" t="s">
        <v>101</v>
      </c>
      <c r="W15" t="s">
        <v>116</v>
      </c>
      <c r="X15" t="s">
        <v>101</v>
      </c>
      <c r="Y15" t="s">
        <v>76</v>
      </c>
      <c r="Z15" t="s">
        <v>116</v>
      </c>
      <c r="AA15" t="s">
        <v>79</v>
      </c>
      <c r="AB15" t="s">
        <v>80</v>
      </c>
      <c r="AC15" t="s">
        <v>102</v>
      </c>
      <c r="AD15" t="s">
        <v>80</v>
      </c>
      <c r="AE15" t="s">
        <v>81</v>
      </c>
      <c r="AF15" t="s">
        <v>102</v>
      </c>
      <c r="AG15" t="s">
        <v>80</v>
      </c>
      <c r="AH15" t="s">
        <v>82</v>
      </c>
      <c r="AI15" t="s">
        <v>103</v>
      </c>
      <c r="AJ15" t="s">
        <v>82</v>
      </c>
      <c r="AK15" t="s">
        <v>104</v>
      </c>
      <c r="AL15" t="s">
        <v>76</v>
      </c>
      <c r="AM15" t="s">
        <v>82</v>
      </c>
      <c r="AN15" t="s">
        <v>83</v>
      </c>
      <c r="AO15" t="s">
        <v>105</v>
      </c>
      <c r="AP15" t="s">
        <v>83</v>
      </c>
      <c r="AQ15" t="s">
        <v>106</v>
      </c>
      <c r="AR15" t="s">
        <v>76</v>
      </c>
      <c r="AS15" t="s">
        <v>122</v>
      </c>
      <c r="AT15" t="s">
        <v>107</v>
      </c>
      <c r="AU15" t="s">
        <v>84</v>
      </c>
      <c r="AV15" t="s">
        <v>107</v>
      </c>
      <c r="AW15" t="s">
        <v>84</v>
      </c>
      <c r="AX15" t="s">
        <v>76</v>
      </c>
      <c r="AY15" t="s">
        <v>84</v>
      </c>
      <c r="AZ15" t="s">
        <v>85</v>
      </c>
      <c r="BA15" t="s">
        <v>109</v>
      </c>
      <c r="BB15" t="s">
        <v>85</v>
      </c>
      <c r="BC15" t="s">
        <v>76</v>
      </c>
      <c r="BD15" t="s">
        <v>85</v>
      </c>
      <c r="BE15" t="s">
        <v>86</v>
      </c>
      <c r="BF15" t="s">
        <v>87</v>
      </c>
      <c r="BG15" t="s">
        <v>110</v>
      </c>
      <c r="BH15" t="s">
        <v>87</v>
      </c>
      <c r="BI15" t="s">
        <v>76</v>
      </c>
      <c r="BJ15" t="s">
        <v>111</v>
      </c>
      <c r="BK15" t="s">
        <v>87</v>
      </c>
      <c r="BL15" t="s">
        <v>88</v>
      </c>
      <c r="BM15" t="s">
        <v>89</v>
      </c>
      <c r="BN15" t="s">
        <v>88</v>
      </c>
      <c r="BO15" t="s">
        <v>89</v>
      </c>
      <c r="BP15" t="s">
        <v>76</v>
      </c>
      <c r="BQ15" t="s">
        <v>76</v>
      </c>
      <c r="BR15" t="s">
        <v>90</v>
      </c>
      <c r="BS15" t="s">
        <v>76</v>
      </c>
      <c r="BT15" t="s">
        <v>90</v>
      </c>
      <c r="BU15" t="s">
        <v>114</v>
      </c>
      <c r="BV15" t="s">
        <v>90</v>
      </c>
      <c r="BW15" t="s">
        <v>114</v>
      </c>
      <c r="BX15" s="7">
        <f>SUMPRODUCT((D15:BW15=D$18:BW$18)*(D$18:BW$18&lt;&gt;""))</f>
        <v>7</v>
      </c>
      <c r="BY15" s="8" t="str">
        <f>Form_Responses[[#This Row],[Aquí ponga su nombre y apellido]]</f>
        <v>Pablo</v>
      </c>
    </row>
    <row r="16" spans="1:77" ht="15.75" customHeight="1" x14ac:dyDescent="0.2">
      <c r="BX16" s="7"/>
      <c r="BY16" s="8"/>
    </row>
    <row r="18" spans="1:35" ht="15.75" customHeight="1" x14ac:dyDescent="0.2">
      <c r="A18" t="s">
        <v>127</v>
      </c>
      <c r="D18" t="s">
        <v>77</v>
      </c>
      <c r="E18" t="s">
        <v>92</v>
      </c>
      <c r="J18" t="s">
        <v>76</v>
      </c>
      <c r="K18" t="s">
        <v>76</v>
      </c>
      <c r="P18" t="s">
        <v>76</v>
      </c>
      <c r="Q18" t="s">
        <v>99</v>
      </c>
      <c r="V18" t="s">
        <v>101</v>
      </c>
      <c r="W18" s="9" t="s">
        <v>100</v>
      </c>
      <c r="AB18" s="9" t="s">
        <v>80</v>
      </c>
      <c r="AC18" t="s">
        <v>102</v>
      </c>
      <c r="AH18" s="9" t="s">
        <v>76</v>
      </c>
      <c r="AI18" t="s">
        <v>103</v>
      </c>
    </row>
  </sheetData>
  <conditionalFormatting sqref="D2:D16">
    <cfRule type="cellIs" dxfId="11" priority="12" operator="equal">
      <formula>$D$18</formula>
    </cfRule>
  </conditionalFormatting>
  <conditionalFormatting sqref="E2:E16">
    <cfRule type="cellIs" dxfId="10" priority="11" operator="equal">
      <formula>$E$18</formula>
    </cfRule>
  </conditionalFormatting>
  <conditionalFormatting sqref="J2:J16">
    <cfRule type="cellIs" dxfId="9" priority="10" operator="equal">
      <formula>$J$18</formula>
    </cfRule>
  </conditionalFormatting>
  <conditionalFormatting sqref="K2:K15">
    <cfRule type="cellIs" dxfId="8" priority="8" operator="equal">
      <formula>$K$18</formula>
    </cfRule>
  </conditionalFormatting>
  <conditionalFormatting sqref="P2:P15">
    <cfRule type="cellIs" dxfId="7" priority="7" operator="equal">
      <formula>$P$18</formula>
    </cfRule>
  </conditionalFormatting>
  <conditionalFormatting sqref="Q2:Q15">
    <cfRule type="cellIs" dxfId="6" priority="6" operator="equal">
      <formula>$Q$18</formula>
    </cfRule>
  </conditionalFormatting>
  <conditionalFormatting sqref="V2:V16">
    <cfRule type="cellIs" dxfId="5" priority="9" operator="equal">
      <formula>$V$18</formula>
    </cfRule>
  </conditionalFormatting>
  <conditionalFormatting sqref="W2:W15">
    <cfRule type="cellIs" dxfId="4" priority="5" operator="equal">
      <formula>$W$18</formula>
    </cfRule>
  </conditionalFormatting>
  <conditionalFormatting sqref="AB2:AB15">
    <cfRule type="cellIs" dxfId="3" priority="4" operator="equal">
      <formula>$AB$18</formula>
    </cfRule>
  </conditionalFormatting>
  <conditionalFormatting sqref="AC2:AC15">
    <cfRule type="cellIs" dxfId="2" priority="2" operator="equal">
      <formula>$AC$18</formula>
    </cfRule>
  </conditionalFormatting>
  <conditionalFormatting sqref="AH2:AH15">
    <cfRule type="cellIs" dxfId="1" priority="3" operator="equal">
      <formula>$AH$18</formula>
    </cfRule>
  </conditionalFormatting>
  <conditionalFormatting sqref="AI2:AI15">
    <cfRule type="cellIs" dxfId="0" priority="1" operator="equal">
      <formula>$AI$18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Lopez</cp:lastModifiedBy>
  <dcterms:modified xsi:type="dcterms:W3CDTF">2026-06-15T04:27:37Z</dcterms:modified>
</cp:coreProperties>
</file>